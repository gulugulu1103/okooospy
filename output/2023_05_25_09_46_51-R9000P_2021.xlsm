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2" documentId="11_75CDFD1D857D190C18FB7A4359B3569554BCDE5E" xr6:coauthVersionLast="47" xr6:coauthVersionMax="47" xr10:uidLastSave="{78323A5B-536F-43A2-B0A7-F362592B23E0}"/>
  <bookViews>
    <workbookView xWindow="2800" yWindow="3430" windowWidth="19200" windowHeight="11170" xr2:uid="{00000000-000D-0000-FFFF-FFFF00000000}"/>
  </bookViews>
  <sheets>
    <sheet name="1214689" sheetId="1" r:id="rId1"/>
    <sheet name="1176739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  <c r="Z12" i="1"/>
  <c r="M12" i="1"/>
  <c r="I12" i="1"/>
  <c r="Z11" i="1"/>
  <c r="M11" i="1"/>
  <c r="I11" i="1"/>
  <c r="Z10" i="1"/>
  <c r="M10" i="1"/>
  <c r="I10" i="1"/>
  <c r="Z9" i="1"/>
  <c r="M9" i="1"/>
  <c r="Z8" i="1"/>
  <c r="M8" i="1"/>
  <c r="I8" i="1"/>
  <c r="Z7" i="1"/>
  <c r="M7" i="1"/>
  <c r="I7" i="1"/>
  <c r="Z6" i="1"/>
  <c r="M6" i="1"/>
  <c r="I6" i="1"/>
  <c r="Z5" i="1"/>
  <c r="M5" i="1"/>
  <c r="Z4" i="1"/>
  <c r="M4" i="1"/>
  <c r="I4" i="1"/>
  <c r="Z3" i="1"/>
  <c r="M3" i="1"/>
  <c r="I3" i="1"/>
  <c r="M2" i="1"/>
  <c r="I2" i="1"/>
</calcChain>
</file>

<file path=xl/sharedStrings.xml><?xml version="1.0" encoding="utf-8"?>
<sst xmlns="http://schemas.openxmlformats.org/spreadsheetml/2006/main" count="98" uniqueCount="43">
  <si>
    <t>英超 23-05-2603:00</t>
  </si>
  <si>
    <t>曼联</t>
  </si>
  <si>
    <t>计算</t>
  </si>
  <si>
    <t>切尔西</t>
  </si>
  <si>
    <t>更新赔率</t>
  </si>
  <si>
    <t>凯利指数（即时）</t>
  </si>
  <si>
    <t>凯利指数（更新）</t>
  </si>
  <si>
    <t>亚盘</t>
  </si>
  <si>
    <t>对比</t>
  </si>
  <si>
    <t>比赛历史</t>
  </si>
  <si>
    <t>首</t>
  </si>
  <si>
    <t>次</t>
  </si>
  <si>
    <t>99家平均</t>
  </si>
  <si>
    <t>半球/一球</t>
  </si>
  <si>
    <t>竞彩</t>
  </si>
  <si>
    <t>3300311031</t>
  </si>
  <si>
    <t>威廉·希尔</t>
  </si>
  <si>
    <t>一球</t>
  </si>
  <si>
    <t>int</t>
  </si>
  <si>
    <t>Bet365</t>
  </si>
  <si>
    <t>金宝博</t>
  </si>
  <si>
    <t>0130000001</t>
  </si>
  <si>
    <t>SNAL</t>
  </si>
  <si>
    <t>Oddset</t>
  </si>
  <si>
    <t>半球</t>
  </si>
  <si>
    <t>1111103331</t>
  </si>
  <si>
    <t>Interwetten</t>
  </si>
  <si>
    <t>竞彩官方</t>
  </si>
  <si>
    <t>盈亏</t>
  </si>
  <si>
    <t>切尔西1-1曼联
2.02半球1.88</t>
  </si>
  <si>
    <t>香港马会</t>
  </si>
  <si>
    <t>必发</t>
  </si>
  <si>
    <t>澳门彩票</t>
  </si>
  <si>
    <t>沙巴</t>
  </si>
  <si>
    <t>心水判断</t>
  </si>
  <si>
    <t>意甲 23-05-2702:45</t>
  </si>
  <si>
    <t>桑普多利亚</t>
  </si>
  <si>
    <t>萨索洛</t>
  </si>
  <si>
    <t>受半球</t>
  </si>
  <si>
    <t>0100011003</t>
  </si>
  <si>
    <t>0010303013</t>
  </si>
  <si>
    <t>3310010310</t>
  </si>
  <si>
    <t>萨索洛1-2桑普多利亚
1.97半球/一球1.96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</si>
</sst>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1" xfId="0" applyNumberFormat="1" applyFont="1" applyBorder="1">
      <alignment vertical="center"/>
    </xf>
    <xf numFmtId="49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5" fillId="2" borderId="12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49" fontId="5" fillId="2" borderId="18" xfId="0" applyNumberFormat="1" applyFont="1" applyFill="1" applyBorder="1" applyAlignment="1">
      <alignment horizontal="center" vertical="center"/>
    </xf>
    <xf numFmtId="49" fontId="5" fillId="2" borderId="19" xfId="0" applyNumberFormat="1" applyFont="1" applyFill="1" applyBorder="1" applyAlignment="1">
      <alignment horizontal="center" vertical="center"/>
    </xf>
    <xf numFmtId="176" fontId="3" fillId="2" borderId="20" xfId="0" applyNumberFormat="1" applyFont="1" applyFill="1" applyBorder="1" applyAlignment="1">
      <alignment horizontal="center" vertical="center"/>
    </xf>
    <xf numFmtId="176" fontId="3" fillId="2" borderId="18" xfId="0" applyNumberFormat="1" applyFont="1" applyFill="1" applyBorder="1" applyAlignment="1">
      <alignment horizontal="center" vertical="center"/>
    </xf>
    <xf numFmtId="176" fontId="3" fillId="2" borderId="19" xfId="0" applyNumberFormat="1" applyFont="1" applyFill="1" applyBorder="1" applyAlignment="1">
      <alignment horizontal="center" vertical="center"/>
    </xf>
    <xf numFmtId="176" fontId="3" fillId="2" borderId="21" xfId="0" applyNumberFormat="1" applyFont="1" applyFill="1" applyBorder="1" applyAlignment="1">
      <alignment horizontal="center" vertical="center"/>
    </xf>
    <xf numFmtId="176" fontId="3" fillId="0" borderId="18" xfId="0" applyNumberFormat="1" applyFont="1" applyBorder="1" applyAlignment="1">
      <alignment horizontal="center" vertical="center"/>
    </xf>
    <xf numFmtId="176" fontId="6" fillId="0" borderId="19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76" fontId="3" fillId="2" borderId="22" xfId="0" applyNumberFormat="1" applyFont="1" applyFill="1" applyBorder="1" applyAlignment="1">
      <alignment horizontal="center" vertical="center"/>
    </xf>
    <xf numFmtId="176" fontId="3" fillId="2" borderId="15" xfId="0" applyNumberFormat="1" applyFont="1" applyFill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176" fontId="3" fillId="2" borderId="14" xfId="0" applyNumberFormat="1" applyFont="1" applyFill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3" fillId="2" borderId="27" xfId="0" applyNumberFormat="1" applyFont="1" applyFill="1" applyBorder="1" applyAlignment="1">
      <alignment horizontal="center" vertical="center"/>
    </xf>
    <xf numFmtId="49" fontId="3" fillId="2" borderId="28" xfId="0" applyNumberFormat="1" applyFont="1" applyFill="1" applyBorder="1" applyAlignment="1">
      <alignment horizontal="center" vertical="center"/>
    </xf>
    <xf numFmtId="49" fontId="3" fillId="2" borderId="29" xfId="0" applyNumberFormat="1" applyFont="1" applyFill="1" applyBorder="1" applyAlignment="1">
      <alignment horizontal="center" vertical="center"/>
    </xf>
    <xf numFmtId="49" fontId="3" fillId="0" borderId="30" xfId="0" applyNumberFormat="1" applyFont="1" applyBorder="1" applyAlignment="1">
      <alignment horizontal="center" vertical="center"/>
    </xf>
    <xf numFmtId="49" fontId="3" fillId="2" borderId="31" xfId="0" applyNumberFormat="1" applyFont="1" applyFill="1" applyBorder="1" applyAlignment="1">
      <alignment horizontal="center" vertical="center"/>
    </xf>
    <xf numFmtId="176" fontId="3" fillId="0" borderId="30" xfId="0" applyNumberFormat="1" applyFont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76" fontId="3" fillId="2" borderId="29" xfId="0" applyNumberFormat="1" applyFont="1" applyFill="1" applyBorder="1" applyAlignment="1">
      <alignment horizontal="center" vertical="center"/>
    </xf>
    <xf numFmtId="176" fontId="3" fillId="2" borderId="27" xfId="0" applyNumberFormat="1" applyFont="1" applyFill="1" applyBorder="1" applyAlignment="1">
      <alignment horizontal="center" vertical="center"/>
    </xf>
    <xf numFmtId="176" fontId="3" fillId="2" borderId="28" xfId="0" applyNumberFormat="1" applyFont="1" applyFill="1" applyBorder="1" applyAlignment="1">
      <alignment horizontal="center" vertical="center"/>
    </xf>
    <xf numFmtId="176" fontId="3" fillId="2" borderId="32" xfId="0" applyNumberFormat="1" applyFont="1" applyFill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6" fillId="0" borderId="28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2" borderId="33" xfId="0" applyNumberFormat="1" applyFont="1" applyFill="1" applyBorder="1" applyAlignment="1">
      <alignment horizontal="center" vertical="center"/>
    </xf>
    <xf numFmtId="176" fontId="3" fillId="2" borderId="30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49" fontId="3" fillId="2" borderId="34" xfId="0" applyNumberFormat="1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28" xfId="0" applyNumberFormat="1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176" fontId="3" fillId="2" borderId="36" xfId="0" applyNumberFormat="1" applyFont="1" applyFill="1" applyBorder="1" applyAlignment="1">
      <alignment horizontal="center" vertical="center"/>
    </xf>
    <xf numFmtId="176" fontId="3" fillId="2" borderId="37" xfId="0" applyNumberFormat="1" applyFont="1" applyFill="1" applyBorder="1" applyAlignment="1">
      <alignment horizontal="center" vertical="center"/>
    </xf>
    <xf numFmtId="49" fontId="3" fillId="2" borderId="36" xfId="0" applyNumberFormat="1" applyFont="1" applyFill="1" applyBorder="1" applyAlignment="1">
      <alignment horizontal="center" vertical="center"/>
    </xf>
    <xf numFmtId="49" fontId="3" fillId="2" borderId="38" xfId="0" applyNumberFormat="1" applyFont="1" applyFill="1" applyBorder="1" applyAlignment="1">
      <alignment horizontal="center" vertical="center"/>
    </xf>
    <xf numFmtId="49" fontId="3" fillId="2" borderId="39" xfId="0" applyNumberFormat="1" applyFont="1" applyFill="1" applyBorder="1" applyAlignment="1">
      <alignment horizontal="center" vertical="center"/>
    </xf>
    <xf numFmtId="49" fontId="3" fillId="2" borderId="40" xfId="0" applyNumberFormat="1" applyFont="1" applyFill="1" applyBorder="1" applyAlignment="1">
      <alignment horizontal="center" vertical="center"/>
    </xf>
    <xf numFmtId="176" fontId="3" fillId="2" borderId="41" xfId="0" applyNumberFormat="1" applyFont="1" applyFill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176" fontId="3" fillId="0" borderId="31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49" fontId="3" fillId="2" borderId="17" xfId="0" applyNumberFormat="1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horizontal="center" vertical="center"/>
    </xf>
    <xf numFmtId="49" fontId="3" fillId="2" borderId="22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0" borderId="28" xfId="0" applyNumberFormat="1" applyFont="1" applyBorder="1">
      <alignment vertical="center"/>
    </xf>
    <xf numFmtId="49" fontId="3" fillId="0" borderId="32" xfId="0" applyNumberFormat="1" applyFont="1" applyBorder="1">
      <alignment vertical="center"/>
    </xf>
    <xf numFmtId="176" fontId="3" fillId="2" borderId="26" xfId="0" applyNumberFormat="1" applyFont="1" applyFill="1" applyBorder="1" applyAlignment="1">
      <alignment horizontal="center" vertical="center"/>
    </xf>
    <xf numFmtId="49" fontId="3" fillId="0" borderId="31" xfId="0" applyNumberFormat="1" applyFont="1" applyBorder="1">
      <alignment vertical="center"/>
    </xf>
    <xf numFmtId="176" fontId="3" fillId="2" borderId="43" xfId="0" applyNumberFormat="1" applyFont="1" applyFill="1" applyBorder="1" applyAlignment="1">
      <alignment horizontal="center" vertical="center"/>
    </xf>
    <xf numFmtId="49" fontId="3" fillId="2" borderId="35" xfId="0" applyNumberFormat="1" applyFont="1" applyFill="1" applyBorder="1" applyAlignment="1">
      <alignment horizontal="center" vertical="center"/>
    </xf>
    <xf numFmtId="49" fontId="3" fillId="2" borderId="44" xfId="0" applyNumberFormat="1" applyFont="1" applyFill="1" applyBorder="1" applyAlignment="1">
      <alignment horizontal="center" vertical="center"/>
    </xf>
    <xf numFmtId="49" fontId="3" fillId="2" borderId="45" xfId="0" applyNumberFormat="1" applyFont="1" applyFill="1" applyBorder="1" applyAlignment="1">
      <alignment horizontal="center" vertical="center"/>
    </xf>
    <xf numFmtId="176" fontId="3" fillId="2" borderId="46" xfId="0" applyNumberFormat="1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76" fontId="4" fillId="2" borderId="17" xfId="0" applyNumberFormat="1" applyFont="1" applyFill="1" applyBorder="1">
      <alignment vertical="center"/>
    </xf>
    <xf numFmtId="176" fontId="4" fillId="2" borderId="15" xfId="0" applyNumberFormat="1" applyFont="1" applyFill="1" applyBorder="1">
      <alignment vertical="center"/>
    </xf>
    <xf numFmtId="176" fontId="4" fillId="2" borderId="22" xfId="0" applyNumberFormat="1" applyFont="1" applyFill="1" applyBorder="1">
      <alignment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49" fontId="3" fillId="2" borderId="16" xfId="0" applyNumberFormat="1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49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49" fontId="5" fillId="2" borderId="42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3" fillId="2" borderId="46" xfId="0" applyNumberFormat="1" applyFont="1" applyFill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176" fontId="3" fillId="0" borderId="49" xfId="0" applyNumberFormat="1" applyFont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44" xfId="0" applyFont="1" applyFill="1" applyBorder="1" applyAlignment="1">
      <alignment horizontal="center" vertical="center"/>
    </xf>
    <xf numFmtId="176" fontId="3" fillId="2" borderId="44" xfId="0" applyNumberFormat="1" applyFont="1" applyFill="1" applyBorder="1" applyAlignment="1">
      <alignment horizontal="center" vertical="center"/>
    </xf>
    <xf numFmtId="176" fontId="3" fillId="2" borderId="45" xfId="0" applyNumberFormat="1" applyFont="1" applyFill="1" applyBorder="1" applyAlignment="1">
      <alignment horizontal="center" vertical="center"/>
    </xf>
    <xf numFmtId="176" fontId="3" fillId="2" borderId="53" xfId="0" applyNumberFormat="1" applyFont="1" applyFill="1" applyBorder="1" applyAlignment="1">
      <alignment horizontal="center" vertical="center"/>
    </xf>
    <xf numFmtId="176" fontId="3" fillId="0" borderId="44" xfId="0" applyNumberFormat="1" applyFont="1" applyBorder="1" applyAlignment="1">
      <alignment horizontal="center" vertical="center"/>
    </xf>
    <xf numFmtId="176" fontId="3" fillId="0" borderId="45" xfId="0" applyNumberFormat="1" applyFont="1" applyBorder="1" applyAlignment="1">
      <alignment horizontal="center" vertical="center"/>
    </xf>
    <xf numFmtId="176" fontId="3" fillId="0" borderId="53" xfId="0" applyNumberFormat="1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horizontal="center" vertical="center"/>
    </xf>
    <xf numFmtId="176" fontId="3" fillId="0" borderId="5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49" fontId="3" fillId="2" borderId="23" xfId="0" applyNumberFormat="1" applyFont="1" applyFill="1" applyBorder="1" applyAlignment="1">
      <alignment horizontal="center" vertical="center" wrapText="1"/>
    </xf>
    <xf numFmtId="0" fontId="0" fillId="0" borderId="42" xfId="0" applyBorder="1" applyAlignment="1"/>
    <xf numFmtId="49" fontId="3" fillId="2" borderId="7" xfId="0" applyNumberFormat="1" applyFont="1" applyFill="1" applyBorder="1" applyAlignment="1">
      <alignment horizontal="center" vertical="center" wrapText="1"/>
    </xf>
    <xf numFmtId="0" fontId="0" fillId="0" borderId="47" xfId="0" applyBorder="1" applyAlignment="1"/>
    <xf numFmtId="0" fontId="0" fillId="0" borderId="52" xfId="0" applyBorder="1" applyAlignment="1"/>
    <xf numFmtId="49" fontId="3" fillId="0" borderId="6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0" fillId="0" borderId="3" xfId="0" applyBorder="1" applyAlignment="1"/>
    <xf numFmtId="176" fontId="3" fillId="2" borderId="3" xfId="0" applyNumberFormat="1" applyFont="1" applyFill="1" applyBorder="1" applyAlignment="1">
      <alignment horizontal="center" vertical="center"/>
    </xf>
    <xf numFmtId="49" fontId="3" fillId="2" borderId="42" xfId="0" applyNumberFormat="1" applyFont="1" applyFill="1" applyBorder="1" applyAlignment="1">
      <alignment horizontal="center" vertical="center" wrapText="1"/>
    </xf>
    <xf numFmtId="176" fontId="3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644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2"/>
  <sheetViews>
    <sheetView tabSelected="1" workbookViewId="0">
      <selection activeCell="A14" sqref="A14:AF25"/>
    </sheetView>
  </sheetViews>
  <sheetFormatPr defaultRowHeight="14" x14ac:dyDescent="0.3"/>
  <sheetData>
    <row r="1" spans="1:34" ht="14.5" customHeight="1" thickBot="1" x14ac:dyDescent="0.3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>
        <v>-1</v>
      </c>
      <c r="AB1" s="126"/>
      <c r="AC1" s="126"/>
      <c r="AD1" s="126"/>
      <c r="AE1" s="4" t="s">
        <v>2</v>
      </c>
      <c r="AF1" s="5" t="s">
        <v>9</v>
      </c>
      <c r="AG1" s="6" t="s">
        <v>10</v>
      </c>
      <c r="AH1" s="7" t="s">
        <v>11</v>
      </c>
    </row>
    <row r="2" spans="1:34" ht="15.5" customHeight="1" x14ac:dyDescent="0.3">
      <c r="A2" s="8" t="s">
        <v>12</v>
      </c>
      <c r="B2" s="9">
        <v>1.82</v>
      </c>
      <c r="C2" s="10">
        <v>3.88</v>
      </c>
      <c r="D2" s="11">
        <v>3.76</v>
      </c>
      <c r="E2" s="12"/>
      <c r="F2" s="13">
        <v>1.6</v>
      </c>
      <c r="G2" s="10">
        <v>4.26</v>
      </c>
      <c r="H2" s="11">
        <v>5.14</v>
      </c>
      <c r="I2" s="14">
        <f>B10-B11</f>
        <v>-0.12999999999999989</v>
      </c>
      <c r="J2" s="15"/>
      <c r="K2" s="16"/>
      <c r="L2" s="17"/>
      <c r="M2" s="14">
        <f>(MIN(J2,L2)-T5)</f>
        <v>0</v>
      </c>
      <c r="N2" s="18">
        <v>0.95</v>
      </c>
      <c r="O2" s="19">
        <v>0.95</v>
      </c>
      <c r="P2" s="20">
        <v>0.95</v>
      </c>
      <c r="Q2" s="21"/>
      <c r="R2" s="22"/>
      <c r="S2" s="23"/>
      <c r="T2" s="24"/>
      <c r="U2" s="25"/>
      <c r="V2" s="26"/>
      <c r="W2" s="27">
        <v>1.8</v>
      </c>
      <c r="X2" s="28" t="s">
        <v>13</v>
      </c>
      <c r="Y2" s="27">
        <v>2.06</v>
      </c>
      <c r="Z2" s="29"/>
      <c r="AA2" s="30" t="s">
        <v>14</v>
      </c>
      <c r="AB2" s="9">
        <v>2.35</v>
      </c>
      <c r="AC2" s="10">
        <v>3.48</v>
      </c>
      <c r="AD2" s="31">
        <v>2.35</v>
      </c>
      <c r="AE2" s="32"/>
      <c r="AF2" s="117" t="s">
        <v>15</v>
      </c>
      <c r="AG2" s="33"/>
      <c r="AH2" s="26"/>
    </row>
    <row r="3" spans="1:34" ht="14.5" customHeight="1" thickBot="1" x14ac:dyDescent="0.35">
      <c r="A3" s="34" t="s">
        <v>16</v>
      </c>
      <c r="B3" s="35">
        <v>1.7</v>
      </c>
      <c r="C3" s="36">
        <v>4.2</v>
      </c>
      <c r="D3" s="37">
        <v>4.4000000000000004</v>
      </c>
      <c r="E3" s="38"/>
      <c r="F3" s="39">
        <v>1.57</v>
      </c>
      <c r="G3" s="36">
        <v>4.2</v>
      </c>
      <c r="H3" s="37">
        <v>5.5</v>
      </c>
      <c r="I3" s="40">
        <f>C10-C11</f>
        <v>0.29999999999999982</v>
      </c>
      <c r="J3" s="41"/>
      <c r="K3" s="42"/>
      <c r="L3" s="43"/>
      <c r="M3" s="40">
        <f>(MIN(J3,L3)-T5)</f>
        <v>0</v>
      </c>
      <c r="N3" s="35">
        <v>0.93</v>
      </c>
      <c r="O3" s="36">
        <v>0.94</v>
      </c>
      <c r="P3" s="44">
        <v>1.01</v>
      </c>
      <c r="Q3" s="45"/>
      <c r="R3" s="46"/>
      <c r="S3" s="47"/>
      <c r="T3" s="48"/>
      <c r="U3" s="49"/>
      <c r="V3" s="50"/>
      <c r="W3" s="51">
        <v>2</v>
      </c>
      <c r="X3" s="52" t="s">
        <v>17</v>
      </c>
      <c r="Y3" s="51">
        <v>1.75</v>
      </c>
      <c r="Z3" s="53">
        <f t="shared" ref="Z3:Z12" si="0">(MIN(J3,L3)-MIN(B3,D3))</f>
        <v>-1.7</v>
      </c>
      <c r="AA3" s="54" t="s">
        <v>18</v>
      </c>
      <c r="AB3" s="35">
        <v>2.6</v>
      </c>
      <c r="AC3" s="36">
        <v>3.75</v>
      </c>
      <c r="AD3" s="44">
        <v>2.2999999999999998</v>
      </c>
      <c r="AE3" s="38"/>
      <c r="AF3" s="118"/>
      <c r="AG3" s="55"/>
      <c r="AH3" s="50"/>
    </row>
    <row r="4" spans="1:34" ht="16" customHeight="1" thickBot="1" x14ac:dyDescent="0.35">
      <c r="A4" s="34" t="s">
        <v>19</v>
      </c>
      <c r="B4" s="35">
        <v>1.6</v>
      </c>
      <c r="C4" s="36">
        <v>4</v>
      </c>
      <c r="D4" s="37">
        <v>5.25</v>
      </c>
      <c r="E4" s="38"/>
      <c r="F4" s="39">
        <v>1.57</v>
      </c>
      <c r="G4" s="36">
        <v>4.33</v>
      </c>
      <c r="H4" s="37">
        <v>5.25</v>
      </c>
      <c r="I4" s="40">
        <f>D10-D11</f>
        <v>0.15000000000000036</v>
      </c>
      <c r="J4" s="41"/>
      <c r="K4" s="42"/>
      <c r="L4" s="43"/>
      <c r="M4" s="40">
        <f>(MIN(J4,L4)-T5)</f>
        <v>0</v>
      </c>
      <c r="N4" s="35">
        <v>0.93</v>
      </c>
      <c r="O4" s="36">
        <v>0.96</v>
      </c>
      <c r="P4" s="44">
        <v>0.97</v>
      </c>
      <c r="Q4" s="45"/>
      <c r="R4" s="46"/>
      <c r="S4" s="47"/>
      <c r="T4" s="48"/>
      <c r="U4" s="56"/>
      <c r="V4" s="57"/>
      <c r="W4" s="58">
        <v>1.82</v>
      </c>
      <c r="X4" s="59" t="s">
        <v>13</v>
      </c>
      <c r="Y4" s="60">
        <v>2.11</v>
      </c>
      <c r="Z4" s="53">
        <f t="shared" si="0"/>
        <v>-1.6</v>
      </c>
      <c r="AA4" s="61" t="s">
        <v>20</v>
      </c>
      <c r="AB4" s="62">
        <v>2.52</v>
      </c>
      <c r="AC4" s="63">
        <v>3.8</v>
      </c>
      <c r="AD4" s="64">
        <v>2.17</v>
      </c>
      <c r="AE4" s="65"/>
      <c r="AF4" s="128" t="s">
        <v>21</v>
      </c>
      <c r="AG4" s="66"/>
      <c r="AH4" s="57"/>
    </row>
    <row r="5" spans="1:34" ht="16" customHeight="1" thickBot="1" x14ac:dyDescent="0.35">
      <c r="A5" s="34" t="s">
        <v>22</v>
      </c>
      <c r="B5" s="35">
        <v>1.6</v>
      </c>
      <c r="C5" s="36">
        <v>4.25</v>
      </c>
      <c r="D5" s="37">
        <v>5</v>
      </c>
      <c r="E5" s="67"/>
      <c r="F5" s="39">
        <v>1.6</v>
      </c>
      <c r="G5" s="36">
        <v>4.25</v>
      </c>
      <c r="H5" s="37">
        <v>5</v>
      </c>
      <c r="I5" s="40"/>
      <c r="J5" s="41"/>
      <c r="K5" s="42"/>
      <c r="L5" s="43"/>
      <c r="M5" s="40">
        <f>(MIN(J5,L5)-T5)</f>
        <v>0</v>
      </c>
      <c r="N5" s="35">
        <v>0.95</v>
      </c>
      <c r="O5" s="36">
        <v>0.95</v>
      </c>
      <c r="P5" s="44">
        <v>0.92</v>
      </c>
      <c r="Q5" s="45"/>
      <c r="R5" s="46"/>
      <c r="S5" s="47"/>
      <c r="T5" s="48"/>
      <c r="U5" s="56"/>
      <c r="V5" s="57"/>
      <c r="W5" s="68">
        <v>1.96</v>
      </c>
      <c r="X5" s="69" t="s">
        <v>17</v>
      </c>
      <c r="Y5" s="70">
        <v>1.9</v>
      </c>
      <c r="Z5" s="53">
        <f t="shared" si="0"/>
        <v>-1.6</v>
      </c>
      <c r="AA5" s="30" t="s">
        <v>14</v>
      </c>
      <c r="AB5" s="71">
        <v>2.35</v>
      </c>
      <c r="AC5" s="72">
        <v>3.48</v>
      </c>
      <c r="AD5" s="31">
        <v>2.35</v>
      </c>
      <c r="AE5" s="38"/>
      <c r="AF5" s="118"/>
      <c r="AG5" s="66"/>
      <c r="AH5" s="57"/>
    </row>
    <row r="6" spans="1:34" ht="15.5" customHeight="1" x14ac:dyDescent="0.3">
      <c r="A6" s="34" t="s">
        <v>23</v>
      </c>
      <c r="B6" s="35">
        <v>1.68</v>
      </c>
      <c r="C6" s="36">
        <v>3.9</v>
      </c>
      <c r="D6" s="37">
        <v>4.4000000000000004</v>
      </c>
      <c r="E6" s="38"/>
      <c r="F6" s="39">
        <v>1.58</v>
      </c>
      <c r="G6" s="36">
        <v>4.0999999999999996</v>
      </c>
      <c r="H6" s="37">
        <v>4.8</v>
      </c>
      <c r="I6" s="40">
        <f>F10-F11</f>
        <v>-0.14999999999999991</v>
      </c>
      <c r="J6" s="41"/>
      <c r="K6" s="42"/>
      <c r="L6" s="43"/>
      <c r="M6" s="40">
        <f>(MIN(J6,L6)-T5)</f>
        <v>0</v>
      </c>
      <c r="N6" s="35">
        <v>0.94</v>
      </c>
      <c r="O6" s="36">
        <v>0.91</v>
      </c>
      <c r="P6" s="44">
        <v>0.89</v>
      </c>
      <c r="Q6" s="45"/>
      <c r="R6" s="46"/>
      <c r="S6" s="47"/>
      <c r="T6" s="48"/>
      <c r="U6" s="73"/>
      <c r="V6" s="74"/>
      <c r="W6" s="75">
        <v>1.7</v>
      </c>
      <c r="X6" s="52" t="s">
        <v>24</v>
      </c>
      <c r="Y6" s="51">
        <v>2.15</v>
      </c>
      <c r="Z6" s="53">
        <f t="shared" si="0"/>
        <v>-1.68</v>
      </c>
      <c r="AA6" s="54" t="s">
        <v>18</v>
      </c>
      <c r="AB6" s="35">
        <v>2.9</v>
      </c>
      <c r="AC6" s="36">
        <v>3.55</v>
      </c>
      <c r="AD6" s="44">
        <v>2.15</v>
      </c>
      <c r="AE6" s="65"/>
      <c r="AF6" s="117" t="s">
        <v>25</v>
      </c>
      <c r="AG6" s="76"/>
      <c r="AH6" s="74"/>
    </row>
    <row r="7" spans="1:34" ht="14.5" customHeight="1" thickBot="1" x14ac:dyDescent="0.35">
      <c r="A7" s="34" t="s">
        <v>26</v>
      </c>
      <c r="B7" s="35">
        <v>1.63</v>
      </c>
      <c r="C7" s="36">
        <v>4.2</v>
      </c>
      <c r="D7" s="37">
        <v>5</v>
      </c>
      <c r="E7" s="38"/>
      <c r="F7" s="39">
        <v>1.7</v>
      </c>
      <c r="G7" s="36">
        <v>3.7</v>
      </c>
      <c r="H7" s="37">
        <v>5.25</v>
      </c>
      <c r="I7" s="40">
        <f>G10-G11</f>
        <v>-4.9999999999999822E-2</v>
      </c>
      <c r="J7" s="41"/>
      <c r="K7" s="42"/>
      <c r="L7" s="43"/>
      <c r="M7" s="40">
        <f>(MIN(J7,L7)-T5)</f>
        <v>0</v>
      </c>
      <c r="N7" s="35">
        <v>1.01</v>
      </c>
      <c r="O7" s="36">
        <v>0.82</v>
      </c>
      <c r="P7" s="44">
        <v>0.97</v>
      </c>
      <c r="Q7" s="45"/>
      <c r="R7" s="46"/>
      <c r="S7" s="47"/>
      <c r="T7" s="48"/>
      <c r="U7" s="56"/>
      <c r="V7" s="57"/>
      <c r="W7" s="77">
        <v>2.0299999999999998</v>
      </c>
      <c r="X7" s="59" t="s">
        <v>17</v>
      </c>
      <c r="Y7" s="58">
        <v>1.9</v>
      </c>
      <c r="Z7" s="53">
        <f t="shared" si="0"/>
        <v>-1.63</v>
      </c>
      <c r="AA7" s="78" t="s">
        <v>20</v>
      </c>
      <c r="AB7" s="79">
        <v>2.46</v>
      </c>
      <c r="AC7" s="80">
        <v>3.7</v>
      </c>
      <c r="AD7" s="81">
        <v>2.2599999999999998</v>
      </c>
      <c r="AE7" s="38"/>
      <c r="AF7" s="118"/>
      <c r="AG7" s="66"/>
      <c r="AH7" s="57"/>
    </row>
    <row r="8" spans="1:34" ht="14.5" customHeight="1" thickBot="1" x14ac:dyDescent="0.35">
      <c r="A8" s="82" t="s">
        <v>27</v>
      </c>
      <c r="B8" s="35">
        <v>1.43</v>
      </c>
      <c r="C8" s="36">
        <v>4</v>
      </c>
      <c r="D8" s="37">
        <v>5.3</v>
      </c>
      <c r="E8" s="38"/>
      <c r="F8" s="39">
        <v>1.43</v>
      </c>
      <c r="G8" s="36">
        <v>4</v>
      </c>
      <c r="H8" s="37">
        <v>5.3</v>
      </c>
      <c r="I8" s="40">
        <f>H10-H11</f>
        <v>0.20000000000000018</v>
      </c>
      <c r="J8" s="41"/>
      <c r="K8" s="42"/>
      <c r="L8" s="43"/>
      <c r="M8" s="83">
        <f>(MIN(J8,L8)-T5)</f>
        <v>0</v>
      </c>
      <c r="N8" s="35">
        <v>0.85</v>
      </c>
      <c r="O8" s="36">
        <v>0.89</v>
      </c>
      <c r="P8" s="44">
        <v>0.98</v>
      </c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-1.43</v>
      </c>
      <c r="AA8" s="122" t="s">
        <v>28</v>
      </c>
      <c r="AB8" s="115"/>
      <c r="AC8" s="115"/>
      <c r="AD8" s="115"/>
      <c r="AE8" s="38"/>
      <c r="AF8" s="119" t="s">
        <v>29</v>
      </c>
      <c r="AG8" s="66"/>
      <c r="AH8" s="57"/>
    </row>
    <row r="9" spans="1:34" ht="15.5" customHeight="1" x14ac:dyDescent="0.3">
      <c r="A9" s="34" t="s">
        <v>30</v>
      </c>
      <c r="B9" s="35">
        <v>1.45</v>
      </c>
      <c r="C9" s="36">
        <v>4.05</v>
      </c>
      <c r="D9" s="37">
        <v>5.3</v>
      </c>
      <c r="E9" s="67"/>
      <c r="F9" s="39">
        <v>1.45</v>
      </c>
      <c r="G9" s="36">
        <v>4.05</v>
      </c>
      <c r="H9" s="37">
        <v>5.3</v>
      </c>
      <c r="I9" s="40"/>
      <c r="J9" s="41"/>
      <c r="K9" s="42"/>
      <c r="L9" s="43"/>
      <c r="M9" s="83">
        <f>(MIN(J9,L9)-T5)</f>
        <v>0</v>
      </c>
      <c r="N9" s="35">
        <v>0.86</v>
      </c>
      <c r="O9" s="36">
        <v>0.9</v>
      </c>
      <c r="P9" s="44">
        <v>0.98</v>
      </c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-1.45</v>
      </c>
      <c r="AA9" s="30" t="s">
        <v>31</v>
      </c>
      <c r="AB9" s="89">
        <v>-5</v>
      </c>
      <c r="AC9" s="72">
        <v>33</v>
      </c>
      <c r="AD9" s="31">
        <v>-26</v>
      </c>
      <c r="AE9" s="38"/>
      <c r="AF9" s="120"/>
      <c r="AG9" s="66"/>
      <c r="AH9" s="57"/>
    </row>
    <row r="10" spans="1:34" ht="14.5" customHeight="1" thickBot="1" x14ac:dyDescent="0.35">
      <c r="A10" s="82" t="s">
        <v>32</v>
      </c>
      <c r="B10" s="35">
        <v>1.55</v>
      </c>
      <c r="C10" s="36">
        <v>4.0999999999999996</v>
      </c>
      <c r="D10" s="37">
        <v>4.6500000000000004</v>
      </c>
      <c r="E10" s="67"/>
      <c r="F10" s="39">
        <v>1.5</v>
      </c>
      <c r="G10" s="36">
        <v>4.2</v>
      </c>
      <c r="H10" s="37">
        <v>5</v>
      </c>
      <c r="I10" s="40">
        <f>J10-J11</f>
        <v>0</v>
      </c>
      <c r="J10" s="41"/>
      <c r="K10" s="42"/>
      <c r="L10" s="43"/>
      <c r="M10" s="83">
        <f>(MIN(J10,L10)-T5)</f>
        <v>0</v>
      </c>
      <c r="N10" s="35">
        <v>0.89</v>
      </c>
      <c r="O10" s="36">
        <v>0.94</v>
      </c>
      <c r="P10" s="44">
        <v>0.92</v>
      </c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-1.55</v>
      </c>
      <c r="AA10" s="78" t="s">
        <v>14</v>
      </c>
      <c r="AB10" s="93">
        <v>29</v>
      </c>
      <c r="AC10" s="80">
        <v>-25</v>
      </c>
      <c r="AD10" s="81">
        <v>0</v>
      </c>
      <c r="AE10" s="38"/>
      <c r="AF10" s="121"/>
      <c r="AG10" s="66"/>
      <c r="AH10" s="57"/>
    </row>
    <row r="11" spans="1:34" ht="15.5" customHeight="1" x14ac:dyDescent="0.3">
      <c r="A11" s="82" t="s">
        <v>33</v>
      </c>
      <c r="B11" s="35">
        <v>1.68</v>
      </c>
      <c r="C11" s="36">
        <v>3.8</v>
      </c>
      <c r="D11" s="37">
        <v>4.5</v>
      </c>
      <c r="E11" s="67"/>
      <c r="F11" s="39">
        <v>1.65</v>
      </c>
      <c r="G11" s="36">
        <v>4.25</v>
      </c>
      <c r="H11" s="37">
        <v>4.8</v>
      </c>
      <c r="I11" s="40">
        <f>K10-K11</f>
        <v>0</v>
      </c>
      <c r="J11" s="41"/>
      <c r="K11" s="42"/>
      <c r="L11" s="43"/>
      <c r="M11" s="40">
        <f>(MIN(J11,L11)-T5)</f>
        <v>0</v>
      </c>
      <c r="N11" s="35">
        <v>0.98</v>
      </c>
      <c r="O11" s="36">
        <v>0.95</v>
      </c>
      <c r="P11" s="44">
        <v>0.89</v>
      </c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-1.68</v>
      </c>
      <c r="AA11" s="95" t="s">
        <v>31</v>
      </c>
      <c r="AB11" s="96"/>
      <c r="AC11" s="97"/>
      <c r="AD11" s="20"/>
      <c r="AE11" s="38"/>
      <c r="AF11" s="119" t="s">
        <v>34</v>
      </c>
      <c r="AG11" s="66"/>
      <c r="AH11" s="57"/>
    </row>
    <row r="12" spans="1:34" ht="14.5" customHeight="1" thickBot="1" x14ac:dyDescent="0.35">
      <c r="A12" s="98" t="s">
        <v>20</v>
      </c>
      <c r="B12" s="79">
        <v>1.65</v>
      </c>
      <c r="C12" s="80">
        <v>3.75</v>
      </c>
      <c r="D12" s="99">
        <v>4.05</v>
      </c>
      <c r="E12" s="100"/>
      <c r="F12" s="93">
        <v>1.6</v>
      </c>
      <c r="G12" s="80">
        <v>4.4000000000000004</v>
      </c>
      <c r="H12" s="99">
        <v>5.3</v>
      </c>
      <c r="I12" s="101">
        <f>L10-L11</f>
        <v>0</v>
      </c>
      <c r="J12" s="102"/>
      <c r="K12" s="103"/>
      <c r="L12" s="90"/>
      <c r="M12" s="101">
        <f>(MIN(J12,L12)-T5)</f>
        <v>0</v>
      </c>
      <c r="N12" s="79">
        <v>0.95</v>
      </c>
      <c r="O12" s="80">
        <v>0.98</v>
      </c>
      <c r="P12" s="81">
        <v>0.98</v>
      </c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-1.65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643" priority="139" bottom="1" rank="1"/>
    <cfRule type="top10" dxfId="642" priority="140" rank="1"/>
  </conditionalFormatting>
  <conditionalFormatting sqref="B2:D2">
    <cfRule type="cellIs" dxfId="641" priority="74" operator="greaterThan">
      <formula>B4</formula>
    </cfRule>
  </conditionalFormatting>
  <conditionalFormatting sqref="B3:D3">
    <cfRule type="cellIs" dxfId="640" priority="75" operator="greaterThan">
      <formula>B4</formula>
    </cfRule>
  </conditionalFormatting>
  <conditionalFormatting sqref="B6:D6">
    <cfRule type="cellIs" dxfId="639" priority="76" operator="greaterThan">
      <formula>B4</formula>
    </cfRule>
  </conditionalFormatting>
  <conditionalFormatting sqref="B7:D7">
    <cfRule type="cellIs" dxfId="638" priority="77" operator="greaterThan">
      <formula>B4</formula>
    </cfRule>
  </conditionalFormatting>
  <conditionalFormatting sqref="B8:D8">
    <cfRule type="cellIs" dxfId="637" priority="78" operator="greaterThan">
      <formula>B4</formula>
    </cfRule>
  </conditionalFormatting>
  <conditionalFormatting sqref="B9:D9">
    <cfRule type="cellIs" dxfId="636" priority="80" operator="greaterThan">
      <formula>B4</formula>
    </cfRule>
  </conditionalFormatting>
  <conditionalFormatting sqref="B10:D10">
    <cfRule type="cellIs" dxfId="635" priority="79" operator="greaterThan">
      <formula>B4</formula>
    </cfRule>
  </conditionalFormatting>
  <conditionalFormatting sqref="C2:C12">
    <cfRule type="top10" dxfId="634" priority="83" bottom="1" rank="1"/>
    <cfRule type="top10" dxfId="633" priority="84" rank="1"/>
  </conditionalFormatting>
  <conditionalFormatting sqref="D2:D12">
    <cfRule type="top10" dxfId="632" priority="81" bottom="1" rank="1"/>
    <cfRule type="top10" dxfId="631" priority="82" rank="1"/>
  </conditionalFormatting>
  <conditionalFormatting sqref="E2:E4">
    <cfRule type="top10" dxfId="630" priority="14" bottom="1" rank="1"/>
    <cfRule type="top10" dxfId="629" priority="15" rank="1"/>
  </conditionalFormatting>
  <conditionalFormatting sqref="E6:E8">
    <cfRule type="top10" dxfId="628" priority="12" bottom="1" rank="1"/>
    <cfRule type="top10" dxfId="627" priority="13" rank="1"/>
  </conditionalFormatting>
  <conditionalFormatting sqref="E10:E12">
    <cfRule type="top10" dxfId="626" priority="10" bottom="1" rank="1"/>
    <cfRule type="top10" dxfId="625" priority="11" rank="1"/>
  </conditionalFormatting>
  <conditionalFormatting sqref="F2:F12">
    <cfRule type="top10" dxfId="624" priority="72" bottom="1" rank="1"/>
    <cfRule type="top10" dxfId="623" priority="73" rank="1"/>
  </conditionalFormatting>
  <conditionalFormatting sqref="F2:H2">
    <cfRule type="cellIs" dxfId="622" priority="61" operator="greaterThan">
      <formula>F4</formula>
    </cfRule>
  </conditionalFormatting>
  <conditionalFormatting sqref="F3:H3">
    <cfRule type="cellIs" dxfId="621" priority="62" operator="greaterThan">
      <formula>F4</formula>
    </cfRule>
  </conditionalFormatting>
  <conditionalFormatting sqref="F6:H6">
    <cfRule type="cellIs" dxfId="620" priority="63" operator="greaterThan">
      <formula>F4</formula>
    </cfRule>
  </conditionalFormatting>
  <conditionalFormatting sqref="F7:H7">
    <cfRule type="cellIs" dxfId="619" priority="64" operator="greaterThan">
      <formula>F4</formula>
    </cfRule>
  </conditionalFormatting>
  <conditionalFormatting sqref="F8:H8">
    <cfRule type="cellIs" dxfId="618" priority="65" operator="greaterThan">
      <formula>F4</formula>
    </cfRule>
  </conditionalFormatting>
  <conditionalFormatting sqref="F9:H9">
    <cfRule type="cellIs" dxfId="617" priority="67" operator="greaterThan">
      <formula>F4</formula>
    </cfRule>
  </conditionalFormatting>
  <conditionalFormatting sqref="F10:H10">
    <cfRule type="cellIs" dxfId="616" priority="66" operator="greaterThan">
      <formula>F4</formula>
    </cfRule>
  </conditionalFormatting>
  <conditionalFormatting sqref="G2:G12">
    <cfRule type="top10" dxfId="615" priority="70" bottom="1" rank="1"/>
    <cfRule type="top10" dxfId="614" priority="71" rank="1"/>
  </conditionalFormatting>
  <conditionalFormatting sqref="H2:H12">
    <cfRule type="top10" dxfId="613" priority="68" bottom="1" rank="1"/>
    <cfRule type="top10" dxfId="612" priority="69" rank="1"/>
  </conditionalFormatting>
  <conditionalFormatting sqref="I2:I4">
    <cfRule type="top10" dxfId="611" priority="8" bottom="1" rank="1"/>
    <cfRule type="top10" dxfId="610" priority="9" rank="1"/>
  </conditionalFormatting>
  <conditionalFormatting sqref="I6:I8">
    <cfRule type="top10" dxfId="609" priority="6" bottom="1" rank="1"/>
    <cfRule type="top10" dxfId="608" priority="7" rank="1"/>
  </conditionalFormatting>
  <conditionalFormatting sqref="I10:I12">
    <cfRule type="top10" dxfId="607" priority="4" bottom="1" rank="1"/>
    <cfRule type="top10" dxfId="606" priority="5" rank="1"/>
  </conditionalFormatting>
  <conditionalFormatting sqref="J2:J12">
    <cfRule type="top10" dxfId="605" priority="20" bottom="1" rank="1"/>
    <cfRule type="top10" dxfId="604" priority="21" rank="1"/>
  </conditionalFormatting>
  <conditionalFormatting sqref="J1:L1">
    <cfRule type="top10" dxfId="603" priority="22" bottom="1" rank="1"/>
    <cfRule type="top10" dxfId="602" priority="23" rank="1"/>
  </conditionalFormatting>
  <conditionalFormatting sqref="J4:L4">
    <cfRule type="cellIs" dxfId="601" priority="1" operator="greaterThan">
      <formula>J11</formula>
    </cfRule>
  </conditionalFormatting>
  <conditionalFormatting sqref="J8:L8">
    <cfRule type="cellIs" dxfId="600" priority="3" operator="greaterThan">
      <formula>J10</formula>
    </cfRule>
  </conditionalFormatting>
  <conditionalFormatting sqref="J10:L10">
    <cfRule type="cellIs" dxfId="599" priority="2" operator="greaterThan">
      <formula>J11</formula>
    </cfRule>
  </conditionalFormatting>
  <conditionalFormatting sqref="K2:K12">
    <cfRule type="top10" dxfId="598" priority="18" bottom="1" rank="1"/>
    <cfRule type="top10" dxfId="597" priority="19" rank="1"/>
  </conditionalFormatting>
  <conditionalFormatting sqref="L2:L12">
    <cfRule type="top10" dxfId="596" priority="16" bottom="1" rank="1"/>
    <cfRule type="top10" dxfId="595" priority="17" rank="1"/>
  </conditionalFormatting>
  <conditionalFormatting sqref="M2:M12">
    <cfRule type="cellIs" dxfId="594" priority="137" operator="lessThan">
      <formula>0</formula>
    </cfRule>
    <cfRule type="cellIs" dxfId="593" priority="138" operator="greaterThan">
      <formula>0</formula>
    </cfRule>
  </conditionalFormatting>
  <conditionalFormatting sqref="N2:N12">
    <cfRule type="top10" dxfId="592" priority="131" bottom="1" rank="1"/>
    <cfRule type="top10" dxfId="591" priority="132" rank="1"/>
  </conditionalFormatting>
  <conditionalFormatting sqref="N9">
    <cfRule type="cellIs" dxfId="590" priority="135" stopIfTrue="1" operator="lessThan">
      <formula>N2</formula>
    </cfRule>
    <cfRule type="cellIs" dxfId="589" priority="136" operator="greaterThan">
      <formula>N2</formula>
    </cfRule>
  </conditionalFormatting>
  <conditionalFormatting sqref="N10">
    <cfRule type="cellIs" dxfId="588" priority="133" stopIfTrue="1" operator="lessThan">
      <formula>N2</formula>
    </cfRule>
    <cfRule type="cellIs" dxfId="587" priority="134" stopIfTrue="1" operator="greaterThan">
      <formula>N2</formula>
    </cfRule>
  </conditionalFormatting>
  <conditionalFormatting sqref="N1:P1">
    <cfRule type="top10" dxfId="586" priority="57" bottom="1" rank="1"/>
    <cfRule type="top10" dxfId="585" priority="58" rank="1"/>
  </conditionalFormatting>
  <conditionalFormatting sqref="N8:P8">
    <cfRule type="top10" dxfId="584" priority="95" bottom="1" rank="1"/>
    <cfRule type="top10" dxfId="583" priority="96" rank="1"/>
    <cfRule type="cellIs" dxfId="582" priority="123" operator="lessThan">
      <formula>N2</formula>
    </cfRule>
    <cfRule type="cellIs" dxfId="581" priority="124" operator="greaterThan">
      <formula>N2</formula>
    </cfRule>
  </conditionalFormatting>
  <conditionalFormatting sqref="N9:P9">
    <cfRule type="top10" dxfId="580" priority="93" bottom="1" rank="1"/>
    <cfRule type="top10" dxfId="579" priority="94" rank="1"/>
  </conditionalFormatting>
  <conditionalFormatting sqref="N10:P10">
    <cfRule type="top10" dxfId="578" priority="91" bottom="1" rank="1"/>
    <cfRule type="top10" dxfId="577" priority="92" rank="1"/>
  </conditionalFormatting>
  <conditionalFormatting sqref="O2:O12">
    <cfRule type="top10" dxfId="576" priority="125" bottom="1" rank="1"/>
    <cfRule type="top10" dxfId="575" priority="126" rank="1"/>
  </conditionalFormatting>
  <conditionalFormatting sqref="O9">
    <cfRule type="cellIs" dxfId="574" priority="129" stopIfTrue="1" operator="lessThan">
      <formula>O2</formula>
    </cfRule>
    <cfRule type="cellIs" dxfId="573" priority="130" operator="greaterThan">
      <formula>O2</formula>
    </cfRule>
  </conditionalFormatting>
  <conditionalFormatting sqref="O10">
    <cfRule type="cellIs" dxfId="572" priority="127" stopIfTrue="1" operator="lessThan">
      <formula>O2</formula>
    </cfRule>
    <cfRule type="cellIs" dxfId="571" priority="128" stopIfTrue="1" operator="greaterThan">
      <formula>O2</formula>
    </cfRule>
  </conditionalFormatting>
  <conditionalFormatting sqref="P2:P12">
    <cfRule type="top10" dxfId="570" priority="117" bottom="1" rank="1"/>
    <cfRule type="top10" dxfId="569" priority="118" rank="1"/>
  </conditionalFormatting>
  <conditionalFormatting sqref="P9">
    <cfRule type="cellIs" dxfId="568" priority="121" stopIfTrue="1" operator="lessThan">
      <formula>P2</formula>
    </cfRule>
    <cfRule type="cellIs" dxfId="567" priority="122" operator="greaterThan">
      <formula>P2</formula>
    </cfRule>
  </conditionalFormatting>
  <conditionalFormatting sqref="P10">
    <cfRule type="cellIs" dxfId="566" priority="119" stopIfTrue="1" operator="lessThan">
      <formula>P2</formula>
    </cfRule>
    <cfRule type="cellIs" dxfId="565" priority="120" stopIfTrue="1" operator="greaterThan">
      <formula>P2</formula>
    </cfRule>
  </conditionalFormatting>
  <conditionalFormatting sqref="R2:R12">
    <cfRule type="top10" dxfId="564" priority="111" bottom="1" rank="1"/>
    <cfRule type="top10" dxfId="563" priority="112" rank="1"/>
  </conditionalFormatting>
  <conditionalFormatting sqref="R9">
    <cfRule type="cellIs" dxfId="562" priority="115" stopIfTrue="1" operator="lessThan">
      <formula>R2</formula>
    </cfRule>
    <cfRule type="cellIs" dxfId="561" priority="116" operator="greaterThan">
      <formula>R2</formula>
    </cfRule>
  </conditionalFormatting>
  <conditionalFormatting sqref="R10">
    <cfRule type="cellIs" dxfId="560" priority="113" stopIfTrue="1" operator="lessThan">
      <formula>R2</formula>
    </cfRule>
    <cfRule type="cellIs" dxfId="559" priority="114" stopIfTrue="1" operator="greaterThan">
      <formula>R2</formula>
    </cfRule>
  </conditionalFormatting>
  <conditionalFormatting sqref="R1:T1">
    <cfRule type="top10" dxfId="558" priority="35" bottom="1" rank="1"/>
    <cfRule type="top10" dxfId="557" priority="36" rank="1"/>
  </conditionalFormatting>
  <conditionalFormatting sqref="R8:T8">
    <cfRule type="top10" dxfId="556" priority="89" bottom="1" rank="1"/>
    <cfRule type="top10" dxfId="555" priority="90" rank="1"/>
    <cfRule type="cellIs" dxfId="554" priority="103" operator="lessThan">
      <formula>R2</formula>
    </cfRule>
    <cfRule type="cellIs" dxfId="553" priority="104" operator="greaterThan">
      <formula>R2</formula>
    </cfRule>
  </conditionalFormatting>
  <conditionalFormatting sqref="R9:T9">
    <cfRule type="top10" dxfId="552" priority="87" bottom="1" rank="1"/>
    <cfRule type="top10" dxfId="551" priority="88" rank="1"/>
  </conditionalFormatting>
  <conditionalFormatting sqref="R10:T10">
    <cfRule type="top10" dxfId="550" priority="85" bottom="1" rank="1"/>
    <cfRule type="top10" dxfId="549" priority="86" rank="1"/>
  </conditionalFormatting>
  <conditionalFormatting sqref="S2:S12">
    <cfRule type="top10" dxfId="548" priority="105" bottom="1" rank="1"/>
    <cfRule type="top10" dxfId="547" priority="106" rank="1"/>
  </conditionalFormatting>
  <conditionalFormatting sqref="S9">
    <cfRule type="cellIs" dxfId="546" priority="109" stopIfTrue="1" operator="lessThan">
      <formula>S2</formula>
    </cfRule>
    <cfRule type="cellIs" dxfId="545" priority="110" operator="greaterThan">
      <formula>S2</formula>
    </cfRule>
  </conditionalFormatting>
  <conditionalFormatting sqref="S10">
    <cfRule type="cellIs" dxfId="544" priority="107" stopIfTrue="1" operator="lessThan">
      <formula>S2</formula>
    </cfRule>
    <cfRule type="cellIs" dxfId="543" priority="108" stopIfTrue="1" operator="greaterThan">
      <formula>S2</formula>
    </cfRule>
  </conditionalFormatting>
  <conditionalFormatting sqref="T2:T12">
    <cfRule type="top10" dxfId="542" priority="97" bottom="1" rank="1"/>
    <cfRule type="top10" dxfId="541" priority="98" rank="1"/>
  </conditionalFormatting>
  <conditionalFormatting sqref="T9">
    <cfRule type="cellIs" dxfId="540" priority="101" stopIfTrue="1" operator="lessThan">
      <formula>T2</formula>
    </cfRule>
    <cfRule type="cellIs" dxfId="539" priority="102" operator="greaterThan">
      <formula>T2</formula>
    </cfRule>
  </conditionalFormatting>
  <conditionalFormatting sqref="T10">
    <cfRule type="cellIs" dxfId="538" priority="99" stopIfTrue="1" operator="lessThan">
      <formula>T2</formula>
    </cfRule>
    <cfRule type="cellIs" dxfId="537" priority="100" stopIfTrue="1" operator="greaterThan">
      <formula>T2</formula>
    </cfRule>
  </conditionalFormatting>
  <conditionalFormatting sqref="V7:V11">
    <cfRule type="top10" dxfId="536" priority="29" bottom="1" rank="1"/>
    <cfRule type="top10" dxfId="535" priority="30" rank="1"/>
  </conditionalFormatting>
  <conditionalFormatting sqref="V1:X1">
    <cfRule type="top10" dxfId="534" priority="33" bottom="1" rank="1"/>
    <cfRule type="top10" dxfId="533" priority="34" rank="1"/>
  </conditionalFormatting>
  <conditionalFormatting sqref="V8:X8">
    <cfRule type="cellIs" dxfId="532" priority="24" operator="greaterThan">
      <formula>V9</formula>
    </cfRule>
  </conditionalFormatting>
  <conditionalFormatting sqref="W7:W11">
    <cfRule type="top10" dxfId="531" priority="27" bottom="1" rank="1"/>
    <cfRule type="top10" dxfId="530" priority="28" rank="1"/>
  </conditionalFormatting>
  <conditionalFormatting sqref="X7:X11">
    <cfRule type="top10" dxfId="529" priority="25" bottom="1" rank="1"/>
    <cfRule type="top10" dxfId="528" priority="26" rank="1"/>
  </conditionalFormatting>
  <conditionalFormatting sqref="Z6:Z7">
    <cfRule type="cellIs" dxfId="527" priority="160" operator="lessThan">
      <formula>Z2</formula>
    </cfRule>
    <cfRule type="cellIs" dxfId="526" priority="161" operator="greaterThan">
      <formula>Z2</formula>
    </cfRule>
  </conditionalFormatting>
  <conditionalFormatting sqref="Z9:Z10">
    <cfRule type="top10" dxfId="525" priority="47" bottom="1" rank="1"/>
    <cfRule type="top10" dxfId="524" priority="48" rank="1"/>
  </conditionalFormatting>
  <conditionalFormatting sqref="Z11:Z12">
    <cfRule type="top10" dxfId="523" priority="41" bottom="1" rank="1"/>
    <cfRule type="top10" dxfId="522" priority="42" rank="1"/>
  </conditionalFormatting>
  <conditionalFormatting sqref="Z9:AB10">
    <cfRule type="cellIs" dxfId="521" priority="49" operator="lessThan">
      <formula>Z11</formula>
    </cfRule>
    <cfRule type="cellIs" dxfId="520" priority="50" operator="greaterThan">
      <formula>Z11</formula>
    </cfRule>
  </conditionalFormatting>
  <conditionalFormatting sqref="AA9:AA10">
    <cfRule type="top10" dxfId="519" priority="45" bottom="1" rank="1"/>
    <cfRule type="top10" dxfId="518" priority="46" rank="1"/>
  </conditionalFormatting>
  <conditionalFormatting sqref="AA11:AA12">
    <cfRule type="top10" dxfId="517" priority="39" bottom="1" rank="1"/>
    <cfRule type="top10" dxfId="516" priority="40" rank="1"/>
  </conditionalFormatting>
  <conditionalFormatting sqref="AB6:AB7">
    <cfRule type="cellIs" dxfId="515" priority="158" operator="lessThan">
      <formula>AB2</formula>
    </cfRule>
    <cfRule type="cellIs" dxfId="514" priority="159" operator="greaterThan">
      <formula>AB2</formula>
    </cfRule>
  </conditionalFormatting>
  <conditionalFormatting sqref="AB9:AB10">
    <cfRule type="top10" dxfId="513" priority="43" bottom="1" rank="1"/>
    <cfRule type="top10" dxfId="512" priority="44" rank="1"/>
  </conditionalFormatting>
  <conditionalFormatting sqref="AB11:AB12">
    <cfRule type="top10" dxfId="511" priority="37" bottom="1" rank="1"/>
    <cfRule type="top10" dxfId="510" priority="38" rank="1"/>
  </conditionalFormatting>
  <conditionalFormatting sqref="AC5:AC7">
    <cfRule type="cellIs" dxfId="509" priority="59" operator="lessThan">
      <formula>AC2</formula>
    </cfRule>
    <cfRule type="cellIs" dxfId="508" priority="60" operator="greaterThan">
      <formula>AC2</formula>
    </cfRule>
  </conditionalFormatting>
  <conditionalFormatting sqref="AC10:AC12">
    <cfRule type="top10" dxfId="507" priority="31" rank="1"/>
    <cfRule type="top10" dxfId="506" priority="32" bottom="1" rank="1"/>
  </conditionalFormatting>
  <conditionalFormatting sqref="AE1:AG1">
    <cfRule type="top10" dxfId="505" priority="55" bottom="1" rank="1"/>
    <cfRule type="top10" dxfId="504" priority="56" rank="1"/>
  </conditionalFormatting>
  <conditionalFormatting sqref="AE2:AG2">
    <cfRule type="top10" dxfId="503" priority="53" bottom="1" rank="1"/>
    <cfRule type="top10" dxfId="502" priority="54" rank="1"/>
  </conditionalFormatting>
  <conditionalFormatting sqref="AE3:AG3">
    <cfRule type="top10" dxfId="501" priority="51" bottom="1" rank="1"/>
    <cfRule type="top10" dxfId="500" priority="52" rank="1"/>
  </conditionalFormatting>
  <conditionalFormatting sqref="AE4:AG4">
    <cfRule type="cellIs" dxfId="499" priority="154" operator="lessThan">
      <formula>AE2</formula>
    </cfRule>
    <cfRule type="cellIs" dxfId="498" priority="155" operator="greaterThan">
      <formula>AE2</formula>
    </cfRule>
  </conditionalFormatting>
  <conditionalFormatting sqref="AE5:AG5">
    <cfRule type="top10" dxfId="497" priority="156" bottom="1" rank="1"/>
    <cfRule type="top10" dxfId="496" priority="157" rank="1"/>
  </conditionalFormatting>
  <conditionalFormatting sqref="AE7:AG7">
    <cfRule type="top10" dxfId="495" priority="152" bottom="1" rank="1"/>
    <cfRule type="top10" dxfId="494" priority="153" rank="1"/>
  </conditionalFormatting>
  <conditionalFormatting sqref="AE8:AG8">
    <cfRule type="cellIs" dxfId="493" priority="148" operator="lessThan">
      <formula>AE7</formula>
    </cfRule>
    <cfRule type="cellIs" dxfId="492" priority="149" operator="greaterThan">
      <formula>AE7</formula>
    </cfRule>
  </conditionalFormatting>
  <conditionalFormatting sqref="AE9:AG9">
    <cfRule type="cellIs" dxfId="491" priority="146" operator="lessThan">
      <formula>AE7</formula>
    </cfRule>
    <cfRule type="cellIs" dxfId="490" priority="147" operator="greaterThan">
      <formula>AE7</formula>
    </cfRule>
  </conditionalFormatting>
  <conditionalFormatting sqref="AE10:AG10">
    <cfRule type="top10" dxfId="489" priority="150" bottom="1" rank="1"/>
    <cfRule type="top10" dxfId="488" priority="151" rank="1"/>
  </conditionalFormatting>
  <conditionalFormatting sqref="AE11:AG11">
    <cfRule type="cellIs" dxfId="487" priority="144" operator="lessThan">
      <formula>0</formula>
    </cfRule>
    <cfRule type="cellIs" dxfId="486" priority="145" operator="greaterThan">
      <formula>0</formula>
    </cfRule>
  </conditionalFormatting>
  <conditionalFormatting sqref="AE12:AG12">
    <cfRule type="top10" dxfId="485" priority="141" bottom="1" rank="1"/>
    <cfRule type="cellIs" dxfId="484" priority="142" operator="greaterThan">
      <formula>0</formula>
    </cfRule>
    <cfRule type="cellIs" dxfId="483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H12"/>
  <sheetViews>
    <sheetView topLeftCell="Q1" workbookViewId="0">
      <selection sqref="A1:AF12"/>
    </sheetView>
  </sheetViews>
  <sheetFormatPr defaultRowHeight="14" x14ac:dyDescent="0.3"/>
  <sheetData>
    <row r="1" spans="1:34" ht="14.5" customHeight="1" thickBot="1" x14ac:dyDescent="0.35">
      <c r="A1" s="1" t="s">
        <v>35</v>
      </c>
      <c r="B1" s="125" t="s">
        <v>36</v>
      </c>
      <c r="C1" s="126"/>
      <c r="D1" s="126"/>
      <c r="E1" s="2" t="s">
        <v>2</v>
      </c>
      <c r="F1" s="127" t="s">
        <v>37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>
        <v>3</v>
      </c>
      <c r="AB1" s="126"/>
      <c r="AC1" s="126"/>
      <c r="AD1" s="126"/>
      <c r="AE1" s="4" t="s">
        <v>2</v>
      </c>
      <c r="AF1" s="5" t="s">
        <v>9</v>
      </c>
      <c r="AG1" s="6" t="s">
        <v>10</v>
      </c>
      <c r="AH1" s="7" t="s">
        <v>11</v>
      </c>
    </row>
    <row r="2" spans="1:34" ht="15.5" customHeight="1" x14ac:dyDescent="0.3">
      <c r="A2" s="8" t="s">
        <v>12</v>
      </c>
      <c r="B2" s="9">
        <v>3.66</v>
      </c>
      <c r="C2" s="10">
        <v>3.69</v>
      </c>
      <c r="D2" s="11">
        <v>1.89</v>
      </c>
      <c r="E2" s="12"/>
      <c r="F2" s="13">
        <v>3.7</v>
      </c>
      <c r="G2" s="10">
        <v>3.77</v>
      </c>
      <c r="H2" s="11">
        <v>1.92</v>
      </c>
      <c r="I2" s="14">
        <f>B10-B11</f>
        <v>-0.25</v>
      </c>
      <c r="J2" s="15"/>
      <c r="K2" s="16"/>
      <c r="L2" s="17"/>
      <c r="M2" s="14">
        <f>(MIN(J2,L2)-T5)</f>
        <v>0</v>
      </c>
      <c r="N2" s="18">
        <v>0.95</v>
      </c>
      <c r="O2" s="19">
        <v>0.95</v>
      </c>
      <c r="P2" s="20">
        <v>0.95</v>
      </c>
      <c r="Q2" s="21"/>
      <c r="R2" s="22"/>
      <c r="S2" s="23"/>
      <c r="T2" s="24"/>
      <c r="U2" s="25"/>
      <c r="V2" s="26"/>
      <c r="W2" s="27">
        <v>1.94</v>
      </c>
      <c r="X2" s="28" t="s">
        <v>38</v>
      </c>
      <c r="Y2" s="27">
        <v>1.92</v>
      </c>
      <c r="Z2" s="29"/>
      <c r="AA2" s="30" t="s">
        <v>14</v>
      </c>
      <c r="AB2" s="9"/>
      <c r="AC2" s="10"/>
      <c r="AD2" s="31"/>
      <c r="AE2" s="32"/>
      <c r="AF2" s="117" t="s">
        <v>39</v>
      </c>
      <c r="AG2" s="33"/>
      <c r="AH2" s="26"/>
    </row>
    <row r="3" spans="1:34" ht="14.5" customHeight="1" thickBot="1" x14ac:dyDescent="0.35">
      <c r="A3" s="34" t="s">
        <v>16</v>
      </c>
      <c r="B3" s="35">
        <v>3.8</v>
      </c>
      <c r="C3" s="36">
        <v>3.6</v>
      </c>
      <c r="D3" s="37">
        <v>1.91</v>
      </c>
      <c r="E3" s="38"/>
      <c r="F3" s="39">
        <v>3.6</v>
      </c>
      <c r="G3" s="36">
        <v>3.9</v>
      </c>
      <c r="H3" s="37">
        <v>1.91</v>
      </c>
      <c r="I3" s="40">
        <f>C10-C11</f>
        <v>4.9999999999999822E-2</v>
      </c>
      <c r="J3" s="41"/>
      <c r="K3" s="42"/>
      <c r="L3" s="43"/>
      <c r="M3" s="40">
        <f>(MIN(J3,L3)-T5)</f>
        <v>0</v>
      </c>
      <c r="N3" s="35">
        <v>0.92</v>
      </c>
      <c r="O3" s="36">
        <v>0.98</v>
      </c>
      <c r="P3" s="44">
        <v>0.94</v>
      </c>
      <c r="Q3" s="45"/>
      <c r="R3" s="46"/>
      <c r="S3" s="47"/>
      <c r="T3" s="48"/>
      <c r="U3" s="49"/>
      <c r="V3" s="50"/>
      <c r="W3" s="51">
        <v>1.85</v>
      </c>
      <c r="X3" s="52" t="s">
        <v>38</v>
      </c>
      <c r="Y3" s="51">
        <v>1.95</v>
      </c>
      <c r="Z3" s="53">
        <f t="shared" ref="Z3:Z12" si="0">(MIN(J3,L3)-MIN(B3,D3))</f>
        <v>-1.91</v>
      </c>
      <c r="AA3" s="54" t="s">
        <v>18</v>
      </c>
      <c r="AB3" s="35">
        <v>1.0900000000000001</v>
      </c>
      <c r="AC3" s="36">
        <v>9.5</v>
      </c>
      <c r="AD3" s="44">
        <v>16</v>
      </c>
      <c r="AE3" s="38"/>
      <c r="AF3" s="118"/>
      <c r="AG3" s="55"/>
      <c r="AH3" s="50"/>
    </row>
    <row r="4" spans="1:34" ht="16" customHeight="1" thickBot="1" x14ac:dyDescent="0.35">
      <c r="A4" s="34" t="s">
        <v>19</v>
      </c>
      <c r="B4" s="35">
        <v>3.75</v>
      </c>
      <c r="C4" s="36">
        <v>3.75</v>
      </c>
      <c r="D4" s="37">
        <v>1.91</v>
      </c>
      <c r="E4" s="38"/>
      <c r="F4" s="39">
        <v>3.75</v>
      </c>
      <c r="G4" s="36">
        <v>3.8</v>
      </c>
      <c r="H4" s="37">
        <v>1.91</v>
      </c>
      <c r="I4" s="40">
        <f>D10-D11</f>
        <v>-3.0000000000000027E-2</v>
      </c>
      <c r="J4" s="41"/>
      <c r="K4" s="42"/>
      <c r="L4" s="43"/>
      <c r="M4" s="40">
        <f>(MIN(J4,L4)-T5)</f>
        <v>0</v>
      </c>
      <c r="N4" s="35">
        <v>0.96</v>
      </c>
      <c r="O4" s="36">
        <v>0.95</v>
      </c>
      <c r="P4" s="44">
        <v>0.94</v>
      </c>
      <c r="Q4" s="45"/>
      <c r="R4" s="46"/>
      <c r="S4" s="47"/>
      <c r="T4" s="48"/>
      <c r="U4" s="56"/>
      <c r="V4" s="57"/>
      <c r="W4" s="58">
        <v>1.96</v>
      </c>
      <c r="X4" s="59" t="s">
        <v>38</v>
      </c>
      <c r="Y4" s="60">
        <v>1.94</v>
      </c>
      <c r="Z4" s="53">
        <f t="shared" si="0"/>
        <v>-1.91</v>
      </c>
      <c r="AA4" s="61" t="s">
        <v>20</v>
      </c>
      <c r="AB4" s="62"/>
      <c r="AC4" s="63"/>
      <c r="AD4" s="64"/>
      <c r="AE4" s="65"/>
      <c r="AF4" s="128" t="s">
        <v>40</v>
      </c>
      <c r="AG4" s="66"/>
      <c r="AH4" s="57"/>
    </row>
    <row r="5" spans="1:34" ht="16" customHeight="1" thickBot="1" x14ac:dyDescent="0.35">
      <c r="A5" s="34" t="s">
        <v>22</v>
      </c>
      <c r="B5" s="35">
        <v>3.65</v>
      </c>
      <c r="C5" s="36">
        <v>3.75</v>
      </c>
      <c r="D5" s="37">
        <v>1.92</v>
      </c>
      <c r="E5" s="67"/>
      <c r="F5" s="39">
        <v>3.7</v>
      </c>
      <c r="G5" s="36">
        <v>3.8</v>
      </c>
      <c r="H5" s="37">
        <v>1.92</v>
      </c>
      <c r="I5" s="40"/>
      <c r="J5" s="41"/>
      <c r="K5" s="42"/>
      <c r="L5" s="43"/>
      <c r="M5" s="40">
        <f>(MIN(J5,L5)-T5)</f>
        <v>0</v>
      </c>
      <c r="N5" s="35">
        <v>0.95</v>
      </c>
      <c r="O5" s="36">
        <v>0.95</v>
      </c>
      <c r="P5" s="44">
        <v>0.95</v>
      </c>
      <c r="Q5" s="45"/>
      <c r="R5" s="46"/>
      <c r="S5" s="47"/>
      <c r="T5" s="48"/>
      <c r="U5" s="56"/>
      <c r="V5" s="57"/>
      <c r="W5" s="68">
        <v>1.94</v>
      </c>
      <c r="X5" s="69" t="s">
        <v>38</v>
      </c>
      <c r="Y5" s="70">
        <v>1.92</v>
      </c>
      <c r="Z5" s="53">
        <f t="shared" si="0"/>
        <v>-1.92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5" customHeight="1" x14ac:dyDescent="0.3">
      <c r="A6" s="34" t="s">
        <v>23</v>
      </c>
      <c r="B6" s="35">
        <v>3.6</v>
      </c>
      <c r="C6" s="36">
        <v>3.6</v>
      </c>
      <c r="D6" s="37">
        <v>1.91</v>
      </c>
      <c r="E6" s="38"/>
      <c r="F6" s="39">
        <v>3.6</v>
      </c>
      <c r="G6" s="36">
        <v>3.6</v>
      </c>
      <c r="H6" s="37">
        <v>1.91</v>
      </c>
      <c r="I6" s="40">
        <f>F10-F11</f>
        <v>-0.30000000000000027</v>
      </c>
      <c r="J6" s="41"/>
      <c r="K6" s="42"/>
      <c r="L6" s="43"/>
      <c r="M6" s="40">
        <f>(MIN(J6,L6)-T5)</f>
        <v>0</v>
      </c>
      <c r="N6" s="35">
        <v>0.92</v>
      </c>
      <c r="O6" s="36">
        <v>0.9</v>
      </c>
      <c r="P6" s="44">
        <v>0.94</v>
      </c>
      <c r="Q6" s="45"/>
      <c r="R6" s="46"/>
      <c r="S6" s="47"/>
      <c r="T6" s="48"/>
      <c r="U6" s="73"/>
      <c r="V6" s="74"/>
      <c r="W6" s="75">
        <v>1.85</v>
      </c>
      <c r="X6" s="52" t="s">
        <v>38</v>
      </c>
      <c r="Y6" s="51">
        <v>1.95</v>
      </c>
      <c r="Z6" s="53">
        <f t="shared" si="0"/>
        <v>-1.91</v>
      </c>
      <c r="AA6" s="54" t="s">
        <v>18</v>
      </c>
      <c r="AB6" s="35">
        <v>1.0900000000000001</v>
      </c>
      <c r="AC6" s="36">
        <v>9.5</v>
      </c>
      <c r="AD6" s="44">
        <v>16</v>
      </c>
      <c r="AE6" s="65"/>
      <c r="AF6" s="117" t="s">
        <v>41</v>
      </c>
      <c r="AG6" s="76"/>
      <c r="AH6" s="74"/>
    </row>
    <row r="7" spans="1:34" ht="14.5" customHeight="1" thickBot="1" x14ac:dyDescent="0.35">
      <c r="A7" s="34" t="s">
        <v>26</v>
      </c>
      <c r="B7" s="35">
        <v>3.7</v>
      </c>
      <c r="C7" s="36">
        <v>3.75</v>
      </c>
      <c r="D7" s="37">
        <v>1.95</v>
      </c>
      <c r="E7" s="38"/>
      <c r="F7" s="39">
        <v>3.7</v>
      </c>
      <c r="G7" s="36">
        <v>3.75</v>
      </c>
      <c r="H7" s="37">
        <v>1.95</v>
      </c>
      <c r="I7" s="40">
        <f>G10-G11</f>
        <v>4.9999999999999822E-2</v>
      </c>
      <c r="J7" s="41"/>
      <c r="K7" s="42"/>
      <c r="L7" s="43"/>
      <c r="M7" s="40">
        <f>(MIN(J7,L7)-T5)</f>
        <v>0</v>
      </c>
      <c r="N7" s="35">
        <v>0.95</v>
      </c>
      <c r="O7" s="36">
        <v>0.94</v>
      </c>
      <c r="P7" s="44">
        <v>0.96</v>
      </c>
      <c r="Q7" s="45"/>
      <c r="R7" s="46"/>
      <c r="S7" s="47"/>
      <c r="T7" s="48"/>
      <c r="U7" s="56"/>
      <c r="V7" s="57"/>
      <c r="W7" s="77">
        <v>1.96</v>
      </c>
      <c r="X7" s="59" t="s">
        <v>38</v>
      </c>
      <c r="Y7" s="58">
        <v>1.97</v>
      </c>
      <c r="Z7" s="53">
        <f t="shared" si="0"/>
        <v>-1.95</v>
      </c>
      <c r="AA7" s="78" t="s">
        <v>20</v>
      </c>
      <c r="AB7" s="79"/>
      <c r="AC7" s="80"/>
      <c r="AD7" s="81"/>
      <c r="AE7" s="38"/>
      <c r="AF7" s="118"/>
      <c r="AG7" s="66"/>
      <c r="AH7" s="57"/>
    </row>
    <row r="8" spans="1:34" ht="14.5" customHeight="1" thickBot="1" x14ac:dyDescent="0.35">
      <c r="A8" s="82" t="s">
        <v>27</v>
      </c>
      <c r="B8" s="35"/>
      <c r="C8" s="36"/>
      <c r="D8" s="37"/>
      <c r="E8" s="38"/>
      <c r="F8" s="39"/>
      <c r="G8" s="36"/>
      <c r="H8" s="37"/>
      <c r="I8" s="40">
        <f>H10-H11</f>
        <v>-2.0000000000000018E-2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28</v>
      </c>
      <c r="AB8" s="115"/>
      <c r="AC8" s="115"/>
      <c r="AD8" s="115"/>
      <c r="AE8" s="38"/>
      <c r="AF8" s="119" t="s">
        <v>42</v>
      </c>
      <c r="AG8" s="66"/>
      <c r="AH8" s="57"/>
    </row>
    <row r="9" spans="1:34" ht="15.5" customHeight="1" x14ac:dyDescent="0.3">
      <c r="A9" s="34" t="s">
        <v>30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31</v>
      </c>
      <c r="AB9" s="89"/>
      <c r="AC9" s="72"/>
      <c r="AD9" s="31"/>
      <c r="AE9" s="38"/>
      <c r="AF9" s="120"/>
      <c r="AG9" s="66"/>
      <c r="AH9" s="57"/>
    </row>
    <row r="10" spans="1:34" ht="14.5" customHeight="1" thickBot="1" x14ac:dyDescent="0.35">
      <c r="A10" s="82" t="s">
        <v>32</v>
      </c>
      <c r="B10" s="35">
        <v>3.3</v>
      </c>
      <c r="C10" s="36">
        <v>3.55</v>
      </c>
      <c r="D10" s="37">
        <v>1.92</v>
      </c>
      <c r="E10" s="67"/>
      <c r="F10" s="39">
        <v>3.3</v>
      </c>
      <c r="G10" s="36">
        <v>3.55</v>
      </c>
      <c r="H10" s="37">
        <v>1.92</v>
      </c>
      <c r="I10" s="40">
        <f>J10-J11</f>
        <v>0</v>
      </c>
      <c r="J10" s="41"/>
      <c r="K10" s="42"/>
      <c r="L10" s="43"/>
      <c r="M10" s="83">
        <f>(MIN(J10,L10)-T5)</f>
        <v>0</v>
      </c>
      <c r="N10" s="35">
        <v>0.84</v>
      </c>
      <c r="O10" s="36">
        <v>0.89</v>
      </c>
      <c r="P10" s="44">
        <v>0.95</v>
      </c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-1.92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5" customHeight="1" x14ac:dyDescent="0.3">
      <c r="A11" s="82" t="s">
        <v>33</v>
      </c>
      <c r="B11" s="35">
        <v>3.55</v>
      </c>
      <c r="C11" s="36">
        <v>3.5</v>
      </c>
      <c r="D11" s="37">
        <v>1.95</v>
      </c>
      <c r="E11" s="67"/>
      <c r="F11" s="39">
        <v>3.6</v>
      </c>
      <c r="G11" s="36">
        <v>3.5</v>
      </c>
      <c r="H11" s="37">
        <v>1.94</v>
      </c>
      <c r="I11" s="40">
        <f>K10-K11</f>
        <v>0</v>
      </c>
      <c r="J11" s="41"/>
      <c r="K11" s="42"/>
      <c r="L11" s="43"/>
      <c r="M11" s="40">
        <f>(MIN(J11,L11)-T5)</f>
        <v>0</v>
      </c>
      <c r="N11" s="35">
        <v>0.92</v>
      </c>
      <c r="O11" s="36">
        <v>0.88</v>
      </c>
      <c r="P11" s="44">
        <v>0.96</v>
      </c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-1.95</v>
      </c>
      <c r="AA11" s="95" t="s">
        <v>31</v>
      </c>
      <c r="AB11" s="96"/>
      <c r="AC11" s="97"/>
      <c r="AD11" s="20"/>
      <c r="AE11" s="38"/>
      <c r="AF11" s="119" t="s">
        <v>34</v>
      </c>
      <c r="AG11" s="66"/>
      <c r="AH11" s="57"/>
    </row>
    <row r="12" spans="1:34" ht="14.5" customHeight="1" thickBot="1" x14ac:dyDescent="0.35">
      <c r="A12" s="98" t="s">
        <v>20</v>
      </c>
      <c r="B12" s="79">
        <v>3.65</v>
      </c>
      <c r="C12" s="80">
        <v>3.85</v>
      </c>
      <c r="D12" s="99">
        <v>1.93</v>
      </c>
      <c r="E12" s="100"/>
      <c r="F12" s="93">
        <v>3.7</v>
      </c>
      <c r="G12" s="80">
        <v>3.95</v>
      </c>
      <c r="H12" s="99">
        <v>1.93</v>
      </c>
      <c r="I12" s="101">
        <f>L10-L11</f>
        <v>0</v>
      </c>
      <c r="J12" s="102"/>
      <c r="K12" s="103"/>
      <c r="L12" s="90"/>
      <c r="M12" s="101">
        <f>(MIN(J12,L12)-T5)</f>
        <v>0</v>
      </c>
      <c r="N12" s="79">
        <v>0.95</v>
      </c>
      <c r="O12" s="80">
        <v>0.99</v>
      </c>
      <c r="P12" s="81">
        <v>0.95</v>
      </c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-1.93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482" priority="139" bottom="1" rank="1"/>
    <cfRule type="top10" dxfId="481" priority="140" rank="1"/>
  </conditionalFormatting>
  <conditionalFormatting sqref="B2:D2">
    <cfRule type="cellIs" dxfId="480" priority="74" operator="greaterThan">
      <formula>B4</formula>
    </cfRule>
  </conditionalFormatting>
  <conditionalFormatting sqref="B3:D3">
    <cfRule type="cellIs" dxfId="479" priority="75" operator="greaterThan">
      <formula>B4</formula>
    </cfRule>
  </conditionalFormatting>
  <conditionalFormatting sqref="B6:D6">
    <cfRule type="cellIs" dxfId="478" priority="76" operator="greaterThan">
      <formula>B4</formula>
    </cfRule>
  </conditionalFormatting>
  <conditionalFormatting sqref="B7:D7">
    <cfRule type="cellIs" dxfId="477" priority="77" operator="greaterThan">
      <formula>B4</formula>
    </cfRule>
  </conditionalFormatting>
  <conditionalFormatting sqref="B8:D8">
    <cfRule type="cellIs" dxfId="476" priority="78" operator="greaterThan">
      <formula>B4</formula>
    </cfRule>
  </conditionalFormatting>
  <conditionalFormatting sqref="B9:D9">
    <cfRule type="cellIs" dxfId="475" priority="80" operator="greaterThan">
      <formula>B4</formula>
    </cfRule>
  </conditionalFormatting>
  <conditionalFormatting sqref="B10:D10">
    <cfRule type="cellIs" dxfId="474" priority="79" operator="greaterThan">
      <formula>B4</formula>
    </cfRule>
  </conditionalFormatting>
  <conditionalFormatting sqref="C2:C12">
    <cfRule type="top10" dxfId="473" priority="83" bottom="1" rank="1"/>
    <cfRule type="top10" dxfId="472" priority="84" rank="1"/>
  </conditionalFormatting>
  <conditionalFormatting sqref="D2:D12">
    <cfRule type="top10" dxfId="471" priority="81" bottom="1" rank="1"/>
    <cfRule type="top10" dxfId="470" priority="82" rank="1"/>
  </conditionalFormatting>
  <conditionalFormatting sqref="E2:E4">
    <cfRule type="top10" dxfId="469" priority="14" bottom="1" rank="1"/>
    <cfRule type="top10" dxfId="468" priority="15" rank="1"/>
  </conditionalFormatting>
  <conditionalFormatting sqref="E6:E8">
    <cfRule type="top10" dxfId="467" priority="12" bottom="1" rank="1"/>
    <cfRule type="top10" dxfId="466" priority="13" rank="1"/>
  </conditionalFormatting>
  <conditionalFormatting sqref="E10:E12">
    <cfRule type="top10" dxfId="465" priority="10" bottom="1" rank="1"/>
    <cfRule type="top10" dxfId="464" priority="11" rank="1"/>
  </conditionalFormatting>
  <conditionalFormatting sqref="F2:F12">
    <cfRule type="top10" dxfId="463" priority="72" bottom="1" rank="1"/>
    <cfRule type="top10" dxfId="462" priority="73" rank="1"/>
  </conditionalFormatting>
  <conditionalFormatting sqref="F2:H2">
    <cfRule type="cellIs" dxfId="461" priority="61" operator="greaterThan">
      <formula>F4</formula>
    </cfRule>
  </conditionalFormatting>
  <conditionalFormatting sqref="F3:H3">
    <cfRule type="cellIs" dxfId="460" priority="62" operator="greaterThan">
      <formula>F4</formula>
    </cfRule>
  </conditionalFormatting>
  <conditionalFormatting sqref="F6:H6">
    <cfRule type="cellIs" dxfId="459" priority="63" operator="greaterThan">
      <formula>F4</formula>
    </cfRule>
  </conditionalFormatting>
  <conditionalFormatting sqref="F7:H7">
    <cfRule type="cellIs" dxfId="458" priority="64" operator="greaterThan">
      <formula>F4</formula>
    </cfRule>
  </conditionalFormatting>
  <conditionalFormatting sqref="F8:H8">
    <cfRule type="cellIs" dxfId="457" priority="65" operator="greaterThan">
      <formula>F4</formula>
    </cfRule>
  </conditionalFormatting>
  <conditionalFormatting sqref="F9:H9">
    <cfRule type="cellIs" dxfId="456" priority="67" operator="greaterThan">
      <formula>F4</formula>
    </cfRule>
  </conditionalFormatting>
  <conditionalFormatting sqref="F10:H10">
    <cfRule type="cellIs" dxfId="455" priority="66" operator="greaterThan">
      <formula>F4</formula>
    </cfRule>
  </conditionalFormatting>
  <conditionalFormatting sqref="G2:G12">
    <cfRule type="top10" dxfId="454" priority="70" bottom="1" rank="1"/>
    <cfRule type="top10" dxfId="453" priority="71" rank="1"/>
  </conditionalFormatting>
  <conditionalFormatting sqref="H2:H12">
    <cfRule type="top10" dxfId="452" priority="68" bottom="1" rank="1"/>
    <cfRule type="top10" dxfId="451" priority="69" rank="1"/>
  </conditionalFormatting>
  <conditionalFormatting sqref="I2:I4">
    <cfRule type="top10" dxfId="450" priority="8" bottom="1" rank="1"/>
    <cfRule type="top10" dxfId="449" priority="9" rank="1"/>
  </conditionalFormatting>
  <conditionalFormatting sqref="I6:I8">
    <cfRule type="top10" dxfId="448" priority="6" bottom="1" rank="1"/>
    <cfRule type="top10" dxfId="447" priority="7" rank="1"/>
  </conditionalFormatting>
  <conditionalFormatting sqref="I10:I12">
    <cfRule type="top10" dxfId="446" priority="4" bottom="1" rank="1"/>
    <cfRule type="top10" dxfId="445" priority="5" rank="1"/>
  </conditionalFormatting>
  <conditionalFormatting sqref="J2:J12">
    <cfRule type="top10" dxfId="444" priority="20" bottom="1" rank="1"/>
    <cfRule type="top10" dxfId="443" priority="21" rank="1"/>
  </conditionalFormatting>
  <conditionalFormatting sqref="J1:L1">
    <cfRule type="top10" dxfId="442" priority="22" bottom="1" rank="1"/>
    <cfRule type="top10" dxfId="441" priority="23" rank="1"/>
  </conditionalFormatting>
  <conditionalFormatting sqref="J4:L4">
    <cfRule type="cellIs" dxfId="440" priority="1" operator="greaterThan">
      <formula>J11</formula>
    </cfRule>
  </conditionalFormatting>
  <conditionalFormatting sqref="J8:L8">
    <cfRule type="cellIs" dxfId="439" priority="3" operator="greaterThan">
      <formula>J10</formula>
    </cfRule>
  </conditionalFormatting>
  <conditionalFormatting sqref="J10:L10">
    <cfRule type="cellIs" dxfId="438" priority="2" operator="greaterThan">
      <formula>J11</formula>
    </cfRule>
  </conditionalFormatting>
  <conditionalFormatting sqref="K2:K12">
    <cfRule type="top10" dxfId="437" priority="18" bottom="1" rank="1"/>
    <cfRule type="top10" dxfId="436" priority="19" rank="1"/>
  </conditionalFormatting>
  <conditionalFormatting sqref="L2:L12">
    <cfRule type="top10" dxfId="435" priority="16" bottom="1" rank="1"/>
    <cfRule type="top10" dxfId="434" priority="17" rank="1"/>
  </conditionalFormatting>
  <conditionalFormatting sqref="M2:M12">
    <cfRule type="cellIs" dxfId="433" priority="137" operator="lessThan">
      <formula>0</formula>
    </cfRule>
    <cfRule type="cellIs" dxfId="432" priority="138" operator="greaterThan">
      <formula>0</formula>
    </cfRule>
  </conditionalFormatting>
  <conditionalFormatting sqref="N2:N12">
    <cfRule type="top10" dxfId="431" priority="131" bottom="1" rank="1"/>
    <cfRule type="top10" dxfId="430" priority="132" rank="1"/>
  </conditionalFormatting>
  <conditionalFormatting sqref="N9">
    <cfRule type="cellIs" dxfId="429" priority="135" stopIfTrue="1" operator="lessThan">
      <formula>N2</formula>
    </cfRule>
    <cfRule type="cellIs" dxfId="428" priority="136" operator="greaterThan">
      <formula>N2</formula>
    </cfRule>
  </conditionalFormatting>
  <conditionalFormatting sqref="N10">
    <cfRule type="cellIs" dxfId="427" priority="133" stopIfTrue="1" operator="lessThan">
      <formula>N2</formula>
    </cfRule>
    <cfRule type="cellIs" dxfId="426" priority="134" stopIfTrue="1" operator="greaterThan">
      <formula>N2</formula>
    </cfRule>
  </conditionalFormatting>
  <conditionalFormatting sqref="N1:P1">
    <cfRule type="top10" dxfId="425" priority="57" bottom="1" rank="1"/>
    <cfRule type="top10" dxfId="424" priority="58" rank="1"/>
  </conditionalFormatting>
  <conditionalFormatting sqref="N8:P8">
    <cfRule type="top10" dxfId="423" priority="95" bottom="1" rank="1"/>
    <cfRule type="top10" dxfId="422" priority="96" rank="1"/>
    <cfRule type="cellIs" dxfId="421" priority="123" operator="lessThan">
      <formula>N2</formula>
    </cfRule>
    <cfRule type="cellIs" dxfId="420" priority="124" operator="greaterThan">
      <formula>N2</formula>
    </cfRule>
  </conditionalFormatting>
  <conditionalFormatting sqref="N9:P9">
    <cfRule type="top10" dxfId="419" priority="93" bottom="1" rank="1"/>
    <cfRule type="top10" dxfId="418" priority="94" rank="1"/>
  </conditionalFormatting>
  <conditionalFormatting sqref="N10:P10">
    <cfRule type="top10" dxfId="417" priority="91" bottom="1" rank="1"/>
    <cfRule type="top10" dxfId="416" priority="92" rank="1"/>
  </conditionalFormatting>
  <conditionalFormatting sqref="O2:O12">
    <cfRule type="top10" dxfId="415" priority="125" bottom="1" rank="1"/>
    <cfRule type="top10" dxfId="414" priority="126" rank="1"/>
  </conditionalFormatting>
  <conditionalFormatting sqref="O9">
    <cfRule type="cellIs" dxfId="413" priority="129" stopIfTrue="1" operator="lessThan">
      <formula>O2</formula>
    </cfRule>
    <cfRule type="cellIs" dxfId="412" priority="130" operator="greaterThan">
      <formula>O2</formula>
    </cfRule>
  </conditionalFormatting>
  <conditionalFormatting sqref="O10">
    <cfRule type="cellIs" dxfId="411" priority="127" stopIfTrue="1" operator="lessThan">
      <formula>O2</formula>
    </cfRule>
    <cfRule type="cellIs" dxfId="410" priority="128" stopIfTrue="1" operator="greaterThan">
      <formula>O2</formula>
    </cfRule>
  </conditionalFormatting>
  <conditionalFormatting sqref="P2:P12">
    <cfRule type="top10" dxfId="409" priority="117" bottom="1" rank="1"/>
    <cfRule type="top10" dxfId="408" priority="118" rank="1"/>
  </conditionalFormatting>
  <conditionalFormatting sqref="P9">
    <cfRule type="cellIs" dxfId="407" priority="121" stopIfTrue="1" operator="lessThan">
      <formula>P2</formula>
    </cfRule>
    <cfRule type="cellIs" dxfId="406" priority="122" operator="greaterThan">
      <formula>P2</formula>
    </cfRule>
  </conditionalFormatting>
  <conditionalFormatting sqref="P10">
    <cfRule type="cellIs" dxfId="405" priority="119" stopIfTrue="1" operator="lessThan">
      <formula>P2</formula>
    </cfRule>
    <cfRule type="cellIs" dxfId="404" priority="120" stopIfTrue="1" operator="greaterThan">
      <formula>P2</formula>
    </cfRule>
  </conditionalFormatting>
  <conditionalFormatting sqref="R2:R12">
    <cfRule type="top10" dxfId="403" priority="111" bottom="1" rank="1"/>
    <cfRule type="top10" dxfId="402" priority="112" rank="1"/>
  </conditionalFormatting>
  <conditionalFormatting sqref="R9">
    <cfRule type="cellIs" dxfId="401" priority="115" stopIfTrue="1" operator="lessThan">
      <formula>R2</formula>
    </cfRule>
    <cfRule type="cellIs" dxfId="400" priority="116" operator="greaterThan">
      <formula>R2</formula>
    </cfRule>
  </conditionalFormatting>
  <conditionalFormatting sqref="R10">
    <cfRule type="cellIs" dxfId="399" priority="113" stopIfTrue="1" operator="lessThan">
      <formula>R2</formula>
    </cfRule>
    <cfRule type="cellIs" dxfId="398" priority="114" stopIfTrue="1" operator="greaterThan">
      <formula>R2</formula>
    </cfRule>
  </conditionalFormatting>
  <conditionalFormatting sqref="R1:T1">
    <cfRule type="top10" dxfId="397" priority="35" bottom="1" rank="1"/>
    <cfRule type="top10" dxfId="396" priority="36" rank="1"/>
  </conditionalFormatting>
  <conditionalFormatting sqref="R8:T8">
    <cfRule type="top10" dxfId="395" priority="89" bottom="1" rank="1"/>
    <cfRule type="top10" dxfId="394" priority="90" rank="1"/>
    <cfRule type="cellIs" dxfId="393" priority="103" operator="lessThan">
      <formula>R2</formula>
    </cfRule>
    <cfRule type="cellIs" dxfId="392" priority="104" operator="greaterThan">
      <formula>R2</formula>
    </cfRule>
  </conditionalFormatting>
  <conditionalFormatting sqref="R9:T9">
    <cfRule type="top10" dxfId="391" priority="87" bottom="1" rank="1"/>
    <cfRule type="top10" dxfId="390" priority="88" rank="1"/>
  </conditionalFormatting>
  <conditionalFormatting sqref="R10:T10">
    <cfRule type="top10" dxfId="389" priority="85" bottom="1" rank="1"/>
    <cfRule type="top10" dxfId="388" priority="86" rank="1"/>
  </conditionalFormatting>
  <conditionalFormatting sqref="S2:S12">
    <cfRule type="top10" dxfId="387" priority="105" bottom="1" rank="1"/>
    <cfRule type="top10" dxfId="386" priority="106" rank="1"/>
  </conditionalFormatting>
  <conditionalFormatting sqref="S9">
    <cfRule type="cellIs" dxfId="385" priority="109" stopIfTrue="1" operator="lessThan">
      <formula>S2</formula>
    </cfRule>
    <cfRule type="cellIs" dxfId="384" priority="110" operator="greaterThan">
      <formula>S2</formula>
    </cfRule>
  </conditionalFormatting>
  <conditionalFormatting sqref="S10">
    <cfRule type="cellIs" dxfId="383" priority="107" stopIfTrue="1" operator="lessThan">
      <formula>S2</formula>
    </cfRule>
    <cfRule type="cellIs" dxfId="382" priority="108" stopIfTrue="1" operator="greaterThan">
      <formula>S2</formula>
    </cfRule>
  </conditionalFormatting>
  <conditionalFormatting sqref="T2:T12">
    <cfRule type="top10" dxfId="381" priority="97" bottom="1" rank="1"/>
    <cfRule type="top10" dxfId="380" priority="98" rank="1"/>
  </conditionalFormatting>
  <conditionalFormatting sqref="T9">
    <cfRule type="cellIs" dxfId="379" priority="101" stopIfTrue="1" operator="lessThan">
      <formula>T2</formula>
    </cfRule>
    <cfRule type="cellIs" dxfId="378" priority="102" operator="greaterThan">
      <formula>T2</formula>
    </cfRule>
  </conditionalFormatting>
  <conditionalFormatting sqref="T10">
    <cfRule type="cellIs" dxfId="377" priority="99" stopIfTrue="1" operator="lessThan">
      <formula>T2</formula>
    </cfRule>
    <cfRule type="cellIs" dxfId="376" priority="100" stopIfTrue="1" operator="greaterThan">
      <formula>T2</formula>
    </cfRule>
  </conditionalFormatting>
  <conditionalFormatting sqref="V7:V11">
    <cfRule type="top10" dxfId="375" priority="29" bottom="1" rank="1"/>
    <cfRule type="top10" dxfId="374" priority="30" rank="1"/>
  </conditionalFormatting>
  <conditionalFormatting sqref="V1:X1">
    <cfRule type="top10" dxfId="373" priority="33" bottom="1" rank="1"/>
    <cfRule type="top10" dxfId="372" priority="34" rank="1"/>
  </conditionalFormatting>
  <conditionalFormatting sqref="V8:X8">
    <cfRule type="cellIs" dxfId="371" priority="24" operator="greaterThan">
      <formula>V9</formula>
    </cfRule>
  </conditionalFormatting>
  <conditionalFormatting sqref="W7:W11">
    <cfRule type="top10" dxfId="370" priority="27" bottom="1" rank="1"/>
    <cfRule type="top10" dxfId="369" priority="28" rank="1"/>
  </conditionalFormatting>
  <conditionalFormatting sqref="X7:X11">
    <cfRule type="top10" dxfId="368" priority="25" bottom="1" rank="1"/>
    <cfRule type="top10" dxfId="367" priority="26" rank="1"/>
  </conditionalFormatting>
  <conditionalFormatting sqref="Z6:Z7">
    <cfRule type="cellIs" dxfId="366" priority="160" operator="lessThan">
      <formula>Z2</formula>
    </cfRule>
    <cfRule type="cellIs" dxfId="365" priority="161" operator="greaterThan">
      <formula>Z2</formula>
    </cfRule>
  </conditionalFormatting>
  <conditionalFormatting sqref="Z9:Z10">
    <cfRule type="top10" dxfId="364" priority="47" bottom="1" rank="1"/>
    <cfRule type="top10" dxfId="363" priority="48" rank="1"/>
  </conditionalFormatting>
  <conditionalFormatting sqref="Z11:Z12">
    <cfRule type="top10" dxfId="362" priority="41" bottom="1" rank="1"/>
    <cfRule type="top10" dxfId="361" priority="42" rank="1"/>
  </conditionalFormatting>
  <conditionalFormatting sqref="Z9:AB10">
    <cfRule type="cellIs" dxfId="360" priority="49" operator="lessThan">
      <formula>Z11</formula>
    </cfRule>
    <cfRule type="cellIs" dxfId="359" priority="50" operator="greaterThan">
      <formula>Z11</formula>
    </cfRule>
  </conditionalFormatting>
  <conditionalFormatting sqref="AA9:AA10">
    <cfRule type="top10" dxfId="358" priority="45" bottom="1" rank="1"/>
    <cfRule type="top10" dxfId="357" priority="46" rank="1"/>
  </conditionalFormatting>
  <conditionalFormatting sqref="AA11:AA12">
    <cfRule type="top10" dxfId="356" priority="39" bottom="1" rank="1"/>
    <cfRule type="top10" dxfId="355" priority="40" rank="1"/>
  </conditionalFormatting>
  <conditionalFormatting sqref="AB6:AB7">
    <cfRule type="cellIs" dxfId="354" priority="158" operator="lessThan">
      <formula>AB2</formula>
    </cfRule>
    <cfRule type="cellIs" dxfId="353" priority="159" operator="greaterThan">
      <formula>AB2</formula>
    </cfRule>
  </conditionalFormatting>
  <conditionalFormatting sqref="AB9:AB10">
    <cfRule type="top10" dxfId="352" priority="43" bottom="1" rank="1"/>
    <cfRule type="top10" dxfId="351" priority="44" rank="1"/>
  </conditionalFormatting>
  <conditionalFormatting sqref="AB11:AB12">
    <cfRule type="top10" dxfId="350" priority="37" bottom="1" rank="1"/>
    <cfRule type="top10" dxfId="349" priority="38" rank="1"/>
  </conditionalFormatting>
  <conditionalFormatting sqref="AC5:AC7">
    <cfRule type="cellIs" dxfId="348" priority="59" operator="lessThan">
      <formula>AC2</formula>
    </cfRule>
    <cfRule type="cellIs" dxfId="347" priority="60" operator="greaterThan">
      <formula>AC2</formula>
    </cfRule>
  </conditionalFormatting>
  <conditionalFormatting sqref="AC10:AC12">
    <cfRule type="top10" dxfId="346" priority="31" rank="1"/>
    <cfRule type="top10" dxfId="345" priority="32" bottom="1" rank="1"/>
  </conditionalFormatting>
  <conditionalFormatting sqref="AE1:AG1">
    <cfRule type="top10" dxfId="344" priority="55" bottom="1" rank="1"/>
    <cfRule type="top10" dxfId="343" priority="56" rank="1"/>
  </conditionalFormatting>
  <conditionalFormatting sqref="AE2:AG2">
    <cfRule type="top10" dxfId="342" priority="53" bottom="1" rank="1"/>
    <cfRule type="top10" dxfId="341" priority="54" rank="1"/>
  </conditionalFormatting>
  <conditionalFormatting sqref="AE3:AG3">
    <cfRule type="top10" dxfId="340" priority="51" bottom="1" rank="1"/>
    <cfRule type="top10" dxfId="339" priority="52" rank="1"/>
  </conditionalFormatting>
  <conditionalFormatting sqref="AE4:AG4">
    <cfRule type="cellIs" dxfId="338" priority="154" operator="lessThan">
      <formula>AE2</formula>
    </cfRule>
    <cfRule type="cellIs" dxfId="337" priority="155" operator="greaterThan">
      <formula>AE2</formula>
    </cfRule>
  </conditionalFormatting>
  <conditionalFormatting sqref="AE5:AG5">
    <cfRule type="top10" dxfId="336" priority="156" bottom="1" rank="1"/>
    <cfRule type="top10" dxfId="335" priority="157" rank="1"/>
  </conditionalFormatting>
  <conditionalFormatting sqref="AE7:AG7">
    <cfRule type="top10" dxfId="334" priority="152" bottom="1" rank="1"/>
    <cfRule type="top10" dxfId="333" priority="153" rank="1"/>
  </conditionalFormatting>
  <conditionalFormatting sqref="AE8:AG8">
    <cfRule type="cellIs" dxfId="332" priority="148" operator="lessThan">
      <formula>AE7</formula>
    </cfRule>
    <cfRule type="cellIs" dxfId="331" priority="149" operator="greaterThan">
      <formula>AE7</formula>
    </cfRule>
  </conditionalFormatting>
  <conditionalFormatting sqref="AE9:AG9">
    <cfRule type="cellIs" dxfId="330" priority="146" operator="lessThan">
      <formula>AE7</formula>
    </cfRule>
    <cfRule type="cellIs" dxfId="329" priority="147" operator="greaterThan">
      <formula>AE7</formula>
    </cfRule>
  </conditionalFormatting>
  <conditionalFormatting sqref="AE10:AG10">
    <cfRule type="top10" dxfId="328" priority="150" bottom="1" rank="1"/>
    <cfRule type="top10" dxfId="327" priority="151" rank="1"/>
  </conditionalFormatting>
  <conditionalFormatting sqref="AE11:AG11">
    <cfRule type="cellIs" dxfId="326" priority="144" operator="lessThan">
      <formula>0</formula>
    </cfRule>
    <cfRule type="cellIs" dxfId="325" priority="145" operator="greaterThan">
      <formula>0</formula>
    </cfRule>
  </conditionalFormatting>
  <conditionalFormatting sqref="AE12:AG12">
    <cfRule type="top10" dxfId="324" priority="141" bottom="1" rank="1"/>
    <cfRule type="cellIs" dxfId="323" priority="142" operator="greaterThan">
      <formula>0</formula>
    </cfRule>
    <cfRule type="cellIs" dxfId="322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1214689</vt:lpstr>
      <vt:lpstr>1176739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 陶</cp:lastModifiedBy>
  <dcterms:created xsi:type="dcterms:W3CDTF">2023-05-08T14:08:27Z</dcterms:created>
  <dcterms:modified xsi:type="dcterms:W3CDTF">2023-05-25T01:48:24Z</dcterms:modified>
</cp:coreProperties>
</file>