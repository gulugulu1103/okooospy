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9d1af5c7a126804a/Python/okooospy/output/"/>
    </mc:Choice>
  </mc:AlternateContent>
  <xr:revisionPtr revIDLastSave="6" documentId="11_E1EA7893AFB0C72F4098E55A0102C381CD41A098" xr6:coauthVersionLast="47" xr6:coauthVersionMax="47" xr10:uidLastSave="{E32C9F8D-F8FE-4F0D-87AD-01BD855478B8}"/>
  <bookViews>
    <workbookView xWindow="-110" yWindow="-110" windowWidth="25820" windowHeight="15500" xr2:uid="{00000000-000D-0000-FFFF-FFFF00000000}"/>
  </bookViews>
  <sheets>
    <sheet name="Merged" sheetId="5" r:id="rId1"/>
    <sheet name="1215087" sheetId="1" r:id="rId2"/>
    <sheet name="1212112" sheetId="2" r:id="rId3"/>
    <sheet name="1215085" sheetId="3" r:id="rId4"/>
    <sheet name="1179153" sheetId="4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51" i="5" l="1"/>
  <c r="M51" i="5"/>
  <c r="I51" i="5"/>
  <c r="Z50" i="5"/>
  <c r="M50" i="5"/>
  <c r="I50" i="5"/>
  <c r="Z49" i="5"/>
  <c r="M49" i="5"/>
  <c r="I49" i="5"/>
  <c r="Z48" i="5"/>
  <c r="M48" i="5"/>
  <c r="Z47" i="5"/>
  <c r="M47" i="5"/>
  <c r="I47" i="5"/>
  <c r="Z46" i="5"/>
  <c r="M46" i="5"/>
  <c r="I46" i="5"/>
  <c r="Z45" i="5"/>
  <c r="M45" i="5"/>
  <c r="I45" i="5"/>
  <c r="Z44" i="5"/>
  <c r="M44" i="5"/>
  <c r="Z43" i="5"/>
  <c r="M43" i="5"/>
  <c r="I43" i="5"/>
  <c r="Z42" i="5"/>
  <c r="M42" i="5"/>
  <c r="I42" i="5"/>
  <c r="M41" i="5"/>
  <c r="I41" i="5"/>
  <c r="Z38" i="5"/>
  <c r="M38" i="5"/>
  <c r="I38" i="5"/>
  <c r="Z37" i="5"/>
  <c r="M37" i="5"/>
  <c r="I37" i="5"/>
  <c r="Z36" i="5"/>
  <c r="M36" i="5"/>
  <c r="I36" i="5"/>
  <c r="Z35" i="5"/>
  <c r="M35" i="5"/>
  <c r="Z34" i="5"/>
  <c r="M34" i="5"/>
  <c r="I34" i="5"/>
  <c r="Z33" i="5"/>
  <c r="M33" i="5"/>
  <c r="I33" i="5"/>
  <c r="Z32" i="5"/>
  <c r="M32" i="5"/>
  <c r="I32" i="5"/>
  <c r="Z31" i="5"/>
  <c r="M31" i="5"/>
  <c r="Z30" i="5"/>
  <c r="M30" i="5"/>
  <c r="I30" i="5"/>
  <c r="Z29" i="5"/>
  <c r="M29" i="5"/>
  <c r="I29" i="5"/>
  <c r="M28" i="5"/>
  <c r="I28" i="5"/>
  <c r="Z25" i="5"/>
  <c r="M25" i="5"/>
  <c r="I25" i="5"/>
  <c r="Z24" i="5"/>
  <c r="M24" i="5"/>
  <c r="I24" i="5"/>
  <c r="Z23" i="5"/>
  <c r="M23" i="5"/>
  <c r="I23" i="5"/>
  <c r="Z22" i="5"/>
  <c r="M22" i="5"/>
  <c r="Z21" i="5"/>
  <c r="M21" i="5"/>
  <c r="I21" i="5"/>
  <c r="Z20" i="5"/>
  <c r="M20" i="5"/>
  <c r="I20" i="5"/>
  <c r="Z19" i="5"/>
  <c r="M19" i="5"/>
  <c r="I19" i="5"/>
  <c r="Z18" i="5"/>
  <c r="M18" i="5"/>
  <c r="Z17" i="5"/>
  <c r="M17" i="5"/>
  <c r="I17" i="5"/>
  <c r="Z16" i="5"/>
  <c r="M16" i="5"/>
  <c r="I16" i="5"/>
  <c r="M15" i="5"/>
  <c r="I15" i="5"/>
  <c r="Z12" i="5"/>
  <c r="M12" i="5"/>
  <c r="I12" i="5"/>
  <c r="Z11" i="5"/>
  <c r="M11" i="5"/>
  <c r="I11" i="5"/>
  <c r="Z10" i="5"/>
  <c r="M10" i="5"/>
  <c r="I10" i="5"/>
  <c r="Z9" i="5"/>
  <c r="M9" i="5"/>
  <c r="Z8" i="5"/>
  <c r="M8" i="5"/>
  <c r="I8" i="5"/>
  <c r="Z7" i="5"/>
  <c r="M7" i="5"/>
  <c r="I7" i="5"/>
  <c r="Z6" i="5"/>
  <c r="M6" i="5"/>
  <c r="I6" i="5"/>
  <c r="Z5" i="5"/>
  <c r="M5" i="5"/>
  <c r="Z4" i="5"/>
  <c r="M4" i="5"/>
  <c r="I4" i="5"/>
  <c r="Z3" i="5"/>
  <c r="M3" i="5"/>
  <c r="I3" i="5"/>
  <c r="M2" i="5"/>
  <c r="I2" i="5"/>
  <c r="Z12" i="4"/>
  <c r="M12" i="4"/>
  <c r="I12" i="4"/>
  <c r="Z11" i="4"/>
  <c r="M11" i="4"/>
  <c r="I11" i="4"/>
  <c r="Z10" i="4"/>
  <c r="M10" i="4"/>
  <c r="I10" i="4"/>
  <c r="Z9" i="4"/>
  <c r="M9" i="4"/>
  <c r="Z8" i="4"/>
  <c r="M8" i="4"/>
  <c r="I8" i="4"/>
  <c r="Z7" i="4"/>
  <c r="M7" i="4"/>
  <c r="I7" i="4"/>
  <c r="Z6" i="4"/>
  <c r="M6" i="4"/>
  <c r="I6" i="4"/>
  <c r="Z5" i="4"/>
  <c r="M5" i="4"/>
  <c r="Z4" i="4"/>
  <c r="M4" i="4"/>
  <c r="I4" i="4"/>
  <c r="Z3" i="4"/>
  <c r="M3" i="4"/>
  <c r="I3" i="4"/>
  <c r="M2" i="4"/>
  <c r="I2" i="4"/>
  <c r="Z12" i="3"/>
  <c r="M12" i="3"/>
  <c r="I12" i="3"/>
  <c r="Z11" i="3"/>
  <c r="M11" i="3"/>
  <c r="I11" i="3"/>
  <c r="Z10" i="3"/>
  <c r="M10" i="3"/>
  <c r="I10" i="3"/>
  <c r="Z9" i="3"/>
  <c r="M9" i="3"/>
  <c r="Z8" i="3"/>
  <c r="M8" i="3"/>
  <c r="I8" i="3"/>
  <c r="Z7" i="3"/>
  <c r="M7" i="3"/>
  <c r="I7" i="3"/>
  <c r="Z6" i="3"/>
  <c r="M6" i="3"/>
  <c r="I6" i="3"/>
  <c r="Z5" i="3"/>
  <c r="M5" i="3"/>
  <c r="Z4" i="3"/>
  <c r="M4" i="3"/>
  <c r="I4" i="3"/>
  <c r="Z3" i="3"/>
  <c r="M3" i="3"/>
  <c r="I3" i="3"/>
  <c r="M2" i="3"/>
  <c r="I2" i="3"/>
  <c r="Z12" i="2"/>
  <c r="M12" i="2"/>
  <c r="I12" i="2"/>
  <c r="Z11" i="2"/>
  <c r="M11" i="2"/>
  <c r="I11" i="2"/>
  <c r="Z10" i="2"/>
  <c r="M10" i="2"/>
  <c r="I10" i="2"/>
  <c r="Z9" i="2"/>
  <c r="M9" i="2"/>
  <c r="Z8" i="2"/>
  <c r="M8" i="2"/>
  <c r="I8" i="2"/>
  <c r="Z7" i="2"/>
  <c r="M7" i="2"/>
  <c r="I7" i="2"/>
  <c r="Z6" i="2"/>
  <c r="M6" i="2"/>
  <c r="I6" i="2"/>
  <c r="Z5" i="2"/>
  <c r="M5" i="2"/>
  <c r="Z4" i="2"/>
  <c r="M4" i="2"/>
  <c r="I4" i="2"/>
  <c r="Z3" i="2"/>
  <c r="M3" i="2"/>
  <c r="I3" i="2"/>
  <c r="M2" i="2"/>
  <c r="I2" i="2"/>
  <c r="Z12" i="1"/>
  <c r="M12" i="1"/>
  <c r="I12" i="1"/>
  <c r="Z11" i="1"/>
  <c r="M11" i="1"/>
  <c r="I11" i="1"/>
  <c r="Z10" i="1"/>
  <c r="M10" i="1"/>
  <c r="I10" i="1"/>
  <c r="Z9" i="1"/>
  <c r="M9" i="1"/>
  <c r="Z8" i="1"/>
  <c r="M8" i="1"/>
  <c r="I8" i="1"/>
  <c r="Z7" i="1"/>
  <c r="M7" i="1"/>
  <c r="I7" i="1"/>
  <c r="Z6" i="1"/>
  <c r="M6" i="1"/>
  <c r="I6" i="1"/>
  <c r="Z5" i="1"/>
  <c r="M5" i="1"/>
  <c r="Z4" i="1"/>
  <c r="M4" i="1"/>
  <c r="I4" i="1"/>
  <c r="Z3" i="1"/>
  <c r="M3" i="1"/>
  <c r="I3" i="1"/>
  <c r="M2" i="1"/>
  <c r="I2" i="1"/>
</calcChain>
</file>

<file path=xl/sharedStrings.xml><?xml version="1.0" encoding="utf-8"?>
<sst xmlns="http://schemas.openxmlformats.org/spreadsheetml/2006/main" count="362" uniqueCount="57">
  <si>
    <t>澳超 22/23 23-05-1917:45</t>
  </si>
  <si>
    <t>墨尔本城</t>
  </si>
  <si>
    <t>计算</t>
  </si>
  <si>
    <t>悉尼FC</t>
  </si>
  <si>
    <t>更新赔率</t>
  </si>
  <si>
    <t>凯利指数（即时）</t>
  </si>
  <si>
    <t>凯利指数（更新）</t>
  </si>
  <si>
    <t>亚盘</t>
  </si>
  <si>
    <t>对比</t>
  </si>
  <si>
    <t>让球</t>
  </si>
  <si>
    <t>比赛历史</t>
  </si>
  <si>
    <t>首</t>
  </si>
  <si>
    <t>次</t>
  </si>
  <si>
    <t>99家平均</t>
  </si>
  <si>
    <t>竞彩</t>
  </si>
  <si>
    <t>-331311303</t>
  </si>
  <si>
    <t>威廉·希尔</t>
  </si>
  <si>
    <t>int</t>
  </si>
  <si>
    <t>Bet365</t>
  </si>
  <si>
    <t>金宝博</t>
  </si>
  <si>
    <t>-333311003</t>
  </si>
  <si>
    <t>SNAL</t>
  </si>
  <si>
    <t>Oddset</t>
  </si>
  <si>
    <t>-303331313</t>
  </si>
  <si>
    <t>Interwetten</t>
  </si>
  <si>
    <t>竞彩官方</t>
  </si>
  <si>
    <t>盈亏</t>
  </si>
  <si>
    <t>悉尼FC-墨尔本城
2.422.05平手</t>
  </si>
  <si>
    <t>香港马会</t>
  </si>
  <si>
    <t>必发</t>
  </si>
  <si>
    <t>澳门彩票</t>
  </si>
  <si>
    <t>沙巴</t>
  </si>
  <si>
    <t>心水判断</t>
  </si>
  <si>
    <t>罗甲 22/23 23-05-1222:30</t>
  </si>
  <si>
    <t>沃伦塔里</t>
  </si>
  <si>
    <t>博托沙尼</t>
  </si>
  <si>
    <t>3311131113</t>
  </si>
  <si>
    <t>平手/半球</t>
  </si>
  <si>
    <t>1013313310</t>
  </si>
  <si>
    <t>3010110003</t>
  </si>
  <si>
    <t>博托沙尼0-1沃伦塔里
2.02平手1.83</t>
  </si>
  <si>
    <t>苏超 22/23 23-05-1302:45</t>
  </si>
  <si>
    <t>女王公园</t>
  </si>
  <si>
    <t>帕尔蒂克</t>
  </si>
  <si>
    <t>0001300033</t>
  </si>
  <si>
    <t>受半球</t>
  </si>
  <si>
    <t>平手</t>
  </si>
  <si>
    <t>3131133011</t>
  </si>
  <si>
    <t>0033300000</t>
  </si>
  <si>
    <t>帕尔蒂克4-3女王公园
1.85半球/一球2.00</t>
  </si>
  <si>
    <t>俄甲 23-05-1223:00</t>
  </si>
  <si>
    <t>卡马斯</t>
  </si>
  <si>
    <t>辛尼克</t>
  </si>
  <si>
    <t>0110030101</t>
  </si>
  <si>
    <t>3100103310</t>
  </si>
  <si>
    <t>0300030001</t>
  </si>
  <si>
    <t>辛尼克1-0卡马斯
---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</si>
</sst>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=0]&quot;&quot;;General"/>
  </numFmts>
  <fonts count="9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8"/>
      <color theme="1"/>
      <name val="等线"/>
      <family val="3"/>
      <charset val="134"/>
      <scheme val="minor"/>
    </font>
    <font>
      <b/>
      <sz val="11"/>
      <color theme="1"/>
      <name val="等线"/>
      <family val="3"/>
      <charset val="134"/>
      <scheme val="minor"/>
    </font>
    <font>
      <b/>
      <sz val="11"/>
      <name val="等线"/>
      <family val="3"/>
      <charset val="134"/>
      <scheme val="minor"/>
    </font>
    <font>
      <b/>
      <sz val="12"/>
      <color theme="1"/>
      <name val="等线"/>
      <family val="3"/>
      <charset val="134"/>
      <scheme val="minor"/>
    </font>
    <font>
      <b/>
      <sz val="11"/>
      <color rgb="FFFF0000"/>
      <name val="等线"/>
      <family val="3"/>
      <charset val="134"/>
      <scheme val="minor"/>
    </font>
    <font>
      <b/>
      <sz val="12"/>
      <name val="等线"/>
      <family val="3"/>
      <charset val="134"/>
      <scheme val="minor"/>
    </font>
    <font>
      <b/>
      <sz val="9"/>
      <color rgb="FF474747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</fills>
  <borders count="5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30">
    <xf numFmtId="0" fontId="0" fillId="0" borderId="0" xfId="0">
      <alignment vertical="center"/>
    </xf>
    <xf numFmtId="20" fontId="2" fillId="2" borderId="1" xfId="0" applyNumberFormat="1" applyFont="1" applyFill="1" applyBorder="1" applyAlignment="1">
      <alignment horizontal="center" vertical="center"/>
    </xf>
    <xf numFmtId="176" fontId="3" fillId="0" borderId="4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1" xfId="0" applyNumberFormat="1" applyFont="1" applyBorder="1">
      <alignment vertical="center"/>
    </xf>
    <xf numFmtId="49" fontId="3" fillId="0" borderId="8" xfId="0" applyNumberFormat="1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176" fontId="2" fillId="2" borderId="11" xfId="0" applyNumberFormat="1" applyFont="1" applyFill="1" applyBorder="1" applyAlignment="1">
      <alignment horizontal="center" vertical="center"/>
    </xf>
    <xf numFmtId="49" fontId="5" fillId="2" borderId="12" xfId="0" applyNumberFormat="1" applyFont="1" applyFill="1" applyBorder="1" applyAlignment="1">
      <alignment horizontal="center" vertical="center"/>
    </xf>
    <xf numFmtId="49" fontId="5" fillId="2" borderId="13" xfId="0" applyNumberFormat="1" applyFont="1" applyFill="1" applyBorder="1" applyAlignment="1">
      <alignment horizontal="center" vertical="center"/>
    </xf>
    <xf numFmtId="49" fontId="5" fillId="2" borderId="14" xfId="0" applyNumberFormat="1" applyFont="1" applyFill="1" applyBorder="1" applyAlignment="1">
      <alignment horizontal="center" vertical="center"/>
    </xf>
    <xf numFmtId="49" fontId="3" fillId="0" borderId="15" xfId="0" applyNumberFormat="1" applyFont="1" applyBorder="1" applyAlignment="1">
      <alignment horizontal="center" vertical="center"/>
    </xf>
    <xf numFmtId="49" fontId="5" fillId="2" borderId="16" xfId="0" applyNumberFormat="1" applyFont="1" applyFill="1" applyBorder="1" applyAlignment="1">
      <alignment horizontal="center" vertical="center"/>
    </xf>
    <xf numFmtId="176" fontId="3" fillId="0" borderId="15" xfId="0" applyNumberFormat="1" applyFont="1" applyBorder="1" applyAlignment="1">
      <alignment horizontal="center" vertical="center"/>
    </xf>
    <xf numFmtId="0" fontId="5" fillId="2" borderId="16" xfId="0" applyFont="1" applyFill="1" applyBorder="1" applyAlignment="1">
      <alignment horizontal="center" vertical="center"/>
    </xf>
    <xf numFmtId="0" fontId="5" fillId="2" borderId="12" xfId="0" applyFont="1" applyFill="1" applyBorder="1" applyAlignment="1">
      <alignment horizontal="center" vertical="center"/>
    </xf>
    <xf numFmtId="0" fontId="5" fillId="2" borderId="17" xfId="0" applyFont="1" applyFill="1" applyBorder="1" applyAlignment="1">
      <alignment horizontal="center" vertical="center"/>
    </xf>
    <xf numFmtId="49" fontId="5" fillId="2" borderId="18" xfId="0" applyNumberFormat="1" applyFont="1" applyFill="1" applyBorder="1" applyAlignment="1">
      <alignment horizontal="center" vertical="center"/>
    </xf>
    <xf numFmtId="49" fontId="5" fillId="2" borderId="19" xfId="0" applyNumberFormat="1" applyFont="1" applyFill="1" applyBorder="1" applyAlignment="1">
      <alignment horizontal="center" vertical="center"/>
    </xf>
    <xf numFmtId="176" fontId="3" fillId="2" borderId="20" xfId="0" applyNumberFormat="1" applyFont="1" applyFill="1" applyBorder="1" applyAlignment="1">
      <alignment horizontal="center" vertical="center"/>
    </xf>
    <xf numFmtId="176" fontId="3" fillId="2" borderId="18" xfId="0" applyNumberFormat="1" applyFont="1" applyFill="1" applyBorder="1" applyAlignment="1">
      <alignment horizontal="center" vertical="center"/>
    </xf>
    <xf numFmtId="176" fontId="3" fillId="2" borderId="19" xfId="0" applyNumberFormat="1" applyFont="1" applyFill="1" applyBorder="1" applyAlignment="1">
      <alignment horizontal="center" vertical="center"/>
    </xf>
    <xf numFmtId="176" fontId="3" fillId="2" borderId="21" xfId="0" applyNumberFormat="1" applyFont="1" applyFill="1" applyBorder="1" applyAlignment="1">
      <alignment horizontal="center" vertical="center"/>
    </xf>
    <xf numFmtId="176" fontId="3" fillId="0" borderId="18" xfId="0" applyNumberFormat="1" applyFont="1" applyBorder="1" applyAlignment="1">
      <alignment horizontal="center" vertical="center"/>
    </xf>
    <xf numFmtId="176" fontId="6" fillId="0" borderId="19" xfId="0" applyNumberFormat="1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176" fontId="3" fillId="2" borderId="22" xfId="0" applyNumberFormat="1" applyFont="1" applyFill="1" applyBorder="1" applyAlignment="1">
      <alignment horizontal="center" vertical="center"/>
    </xf>
    <xf numFmtId="176" fontId="3" fillId="2" borderId="15" xfId="0" applyNumberFormat="1" applyFont="1" applyFill="1" applyBorder="1" applyAlignment="1">
      <alignment horizontal="center" vertical="center"/>
    </xf>
    <xf numFmtId="176" fontId="7" fillId="0" borderId="15" xfId="0" applyNumberFormat="1" applyFont="1" applyBorder="1" applyAlignment="1">
      <alignment horizontal="center" vertical="center"/>
    </xf>
    <xf numFmtId="49" fontId="5" fillId="2" borderId="23" xfId="0" applyNumberFormat="1" applyFont="1" applyFill="1" applyBorder="1" applyAlignment="1">
      <alignment horizontal="center" vertical="center"/>
    </xf>
    <xf numFmtId="176" fontId="3" fillId="2" borderId="14" xfId="0" applyNumberFormat="1" applyFont="1" applyFill="1" applyBorder="1" applyAlignment="1">
      <alignment horizontal="center" vertical="center"/>
    </xf>
    <xf numFmtId="49" fontId="5" fillId="0" borderId="24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176" fontId="2" fillId="2" borderId="26" xfId="0" applyNumberFormat="1" applyFont="1" applyFill="1" applyBorder="1" applyAlignment="1">
      <alignment horizontal="center" vertical="center"/>
    </xf>
    <xf numFmtId="49" fontId="3" fillId="2" borderId="27" xfId="0" applyNumberFormat="1" applyFont="1" applyFill="1" applyBorder="1" applyAlignment="1">
      <alignment horizontal="center" vertical="center"/>
    </xf>
    <xf numFmtId="49" fontId="3" fillId="2" borderId="28" xfId="0" applyNumberFormat="1" applyFont="1" applyFill="1" applyBorder="1" applyAlignment="1">
      <alignment horizontal="center" vertical="center"/>
    </xf>
    <xf numFmtId="49" fontId="3" fillId="2" borderId="29" xfId="0" applyNumberFormat="1" applyFont="1" applyFill="1" applyBorder="1" applyAlignment="1">
      <alignment horizontal="center" vertical="center"/>
    </xf>
    <xf numFmtId="49" fontId="3" fillId="0" borderId="30" xfId="0" applyNumberFormat="1" applyFont="1" applyBorder="1" applyAlignment="1">
      <alignment horizontal="center" vertical="center"/>
    </xf>
    <xf numFmtId="49" fontId="3" fillId="2" borderId="31" xfId="0" applyNumberFormat="1" applyFont="1" applyFill="1" applyBorder="1" applyAlignment="1">
      <alignment horizontal="center" vertical="center"/>
    </xf>
    <xf numFmtId="176" fontId="3" fillId="0" borderId="30" xfId="0" applyNumberFormat="1" applyFont="1" applyBorder="1" applyAlignment="1">
      <alignment horizontal="center" vertical="center"/>
    </xf>
    <xf numFmtId="0" fontId="3" fillId="2" borderId="31" xfId="0" applyFont="1" applyFill="1" applyBorder="1" applyAlignment="1">
      <alignment horizontal="center" vertical="center"/>
    </xf>
    <xf numFmtId="0" fontId="3" fillId="2" borderId="27" xfId="0" applyFont="1" applyFill="1" applyBorder="1" applyAlignment="1">
      <alignment horizontal="center" vertical="center"/>
    </xf>
    <xf numFmtId="0" fontId="3" fillId="2" borderId="26" xfId="0" applyFont="1" applyFill="1" applyBorder="1" applyAlignment="1">
      <alignment horizontal="center" vertical="center"/>
    </xf>
    <xf numFmtId="176" fontId="3" fillId="2" borderId="29" xfId="0" applyNumberFormat="1" applyFont="1" applyFill="1" applyBorder="1" applyAlignment="1">
      <alignment horizontal="center" vertical="center"/>
    </xf>
    <xf numFmtId="176" fontId="3" fillId="2" borderId="27" xfId="0" applyNumberFormat="1" applyFont="1" applyFill="1" applyBorder="1" applyAlignment="1">
      <alignment horizontal="center" vertical="center"/>
    </xf>
    <xf numFmtId="176" fontId="3" fillId="2" borderId="28" xfId="0" applyNumberFormat="1" applyFont="1" applyFill="1" applyBorder="1" applyAlignment="1">
      <alignment horizontal="center" vertical="center"/>
    </xf>
    <xf numFmtId="176" fontId="3" fillId="2" borderId="32" xfId="0" applyNumberFormat="1" applyFont="1" applyFill="1" applyBorder="1" applyAlignment="1">
      <alignment horizontal="center" vertical="center"/>
    </xf>
    <xf numFmtId="176" fontId="3" fillId="0" borderId="27" xfId="0" applyNumberFormat="1" applyFont="1" applyBorder="1" applyAlignment="1">
      <alignment horizontal="center" vertical="center"/>
    </xf>
    <xf numFmtId="176" fontId="6" fillId="0" borderId="28" xfId="0" applyNumberFormat="1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176" fontId="3" fillId="2" borderId="33" xfId="0" applyNumberFormat="1" applyFont="1" applyFill="1" applyBorder="1" applyAlignment="1">
      <alignment horizontal="center" vertical="center"/>
    </xf>
    <xf numFmtId="176" fontId="3" fillId="2" borderId="30" xfId="0" applyNumberFormat="1" applyFont="1" applyFill="1" applyBorder="1" applyAlignment="1">
      <alignment horizontal="center" vertical="center"/>
    </xf>
    <xf numFmtId="176" fontId="4" fillId="0" borderId="30" xfId="0" applyNumberFormat="1" applyFont="1" applyBorder="1" applyAlignment="1">
      <alignment horizontal="center" vertical="center"/>
    </xf>
    <xf numFmtId="49" fontId="3" fillId="2" borderId="34" xfId="0" applyNumberFormat="1" applyFont="1" applyFill="1" applyBorder="1" applyAlignment="1">
      <alignment horizontal="center" vertical="center"/>
    </xf>
    <xf numFmtId="0" fontId="3" fillId="0" borderId="31" xfId="0" applyFont="1" applyBorder="1" applyAlignment="1">
      <alignment horizontal="center" vertical="center"/>
    </xf>
    <xf numFmtId="176" fontId="3" fillId="0" borderId="28" xfId="0" applyNumberFormat="1" applyFont="1" applyBorder="1" applyAlignment="1">
      <alignment horizontal="center" vertical="center"/>
    </xf>
    <xf numFmtId="176" fontId="3" fillId="0" borderId="32" xfId="0" applyNumberFormat="1" applyFont="1" applyBorder="1" applyAlignment="1">
      <alignment horizontal="center" vertical="center"/>
    </xf>
    <xf numFmtId="176" fontId="3" fillId="2" borderId="36" xfId="0" applyNumberFormat="1" applyFont="1" applyFill="1" applyBorder="1" applyAlignment="1">
      <alignment horizontal="center" vertical="center"/>
    </xf>
    <xf numFmtId="176" fontId="3" fillId="2" borderId="37" xfId="0" applyNumberFormat="1" applyFont="1" applyFill="1" applyBorder="1" applyAlignment="1">
      <alignment horizontal="center" vertical="center"/>
    </xf>
    <xf numFmtId="49" fontId="3" fillId="2" borderId="36" xfId="0" applyNumberFormat="1" applyFont="1" applyFill="1" applyBorder="1" applyAlignment="1">
      <alignment horizontal="center" vertical="center"/>
    </xf>
    <xf numFmtId="49" fontId="3" fillId="2" borderId="38" xfId="0" applyNumberFormat="1" applyFont="1" applyFill="1" applyBorder="1" applyAlignment="1">
      <alignment horizontal="center" vertical="center"/>
    </xf>
    <xf numFmtId="49" fontId="3" fillId="2" borderId="39" xfId="0" applyNumberFormat="1" applyFont="1" applyFill="1" applyBorder="1" applyAlignment="1">
      <alignment horizontal="center" vertical="center"/>
    </xf>
    <xf numFmtId="49" fontId="3" fillId="2" borderId="40" xfId="0" applyNumberFormat="1" applyFont="1" applyFill="1" applyBorder="1" applyAlignment="1">
      <alignment horizontal="center" vertical="center"/>
    </xf>
    <xf numFmtId="176" fontId="3" fillId="2" borderId="41" xfId="0" applyNumberFormat="1" applyFont="1" applyFill="1" applyBorder="1" applyAlignment="1">
      <alignment horizontal="center" vertical="center"/>
    </xf>
    <xf numFmtId="49" fontId="5" fillId="0" borderId="30" xfId="0" applyNumberFormat="1" applyFont="1" applyBorder="1" applyAlignment="1">
      <alignment horizontal="center" vertical="center"/>
    </xf>
    <xf numFmtId="176" fontId="3" fillId="0" borderId="31" xfId="0" applyNumberFormat="1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49" fontId="3" fillId="2" borderId="17" xfId="0" applyNumberFormat="1" applyFont="1" applyFill="1" applyBorder="1" applyAlignment="1">
      <alignment horizontal="center" vertical="center"/>
    </xf>
    <xf numFmtId="49" fontId="3" fillId="2" borderId="15" xfId="0" applyNumberFormat="1" applyFont="1" applyFill="1" applyBorder="1" applyAlignment="1">
      <alignment horizontal="center" vertical="center"/>
    </xf>
    <xf numFmtId="49" fontId="3" fillId="2" borderId="22" xfId="0" applyNumberFormat="1" applyFont="1" applyFill="1" applyBorder="1" applyAlignment="1">
      <alignment horizontal="center" vertical="center"/>
    </xf>
    <xf numFmtId="49" fontId="3" fillId="2" borderId="12" xfId="0" applyNumberFormat="1" applyFont="1" applyFill="1" applyBorder="1" applyAlignment="1">
      <alignment horizontal="center" vertical="center"/>
    </xf>
    <xf numFmtId="49" fontId="3" fillId="2" borderId="13" xfId="0" applyNumberFormat="1" applyFont="1" applyFill="1" applyBorder="1" applyAlignment="1">
      <alignment horizontal="center" vertical="center"/>
    </xf>
    <xf numFmtId="49" fontId="3" fillId="0" borderId="28" xfId="0" applyNumberFormat="1" applyFont="1" applyBorder="1">
      <alignment vertical="center"/>
    </xf>
    <xf numFmtId="49" fontId="3" fillId="0" borderId="32" xfId="0" applyNumberFormat="1" applyFont="1" applyBorder="1">
      <alignment vertical="center"/>
    </xf>
    <xf numFmtId="176" fontId="3" fillId="2" borderId="26" xfId="0" applyNumberFormat="1" applyFont="1" applyFill="1" applyBorder="1" applyAlignment="1">
      <alignment horizontal="center" vertical="center"/>
    </xf>
    <xf numFmtId="49" fontId="3" fillId="0" borderId="31" xfId="0" applyNumberFormat="1" applyFont="1" applyBorder="1">
      <alignment vertical="center"/>
    </xf>
    <xf numFmtId="176" fontId="3" fillId="2" borderId="43" xfId="0" applyNumberFormat="1" applyFont="1" applyFill="1" applyBorder="1" applyAlignment="1">
      <alignment horizontal="center" vertical="center"/>
    </xf>
    <xf numFmtId="49" fontId="3" fillId="2" borderId="35" xfId="0" applyNumberFormat="1" applyFont="1" applyFill="1" applyBorder="1" applyAlignment="1">
      <alignment horizontal="center" vertical="center"/>
    </xf>
    <xf numFmtId="49" fontId="3" fillId="2" borderId="44" xfId="0" applyNumberFormat="1" applyFont="1" applyFill="1" applyBorder="1" applyAlignment="1">
      <alignment horizontal="center" vertical="center"/>
    </xf>
    <xf numFmtId="49" fontId="3" fillId="2" borderId="45" xfId="0" applyNumberFormat="1" applyFont="1" applyFill="1" applyBorder="1" applyAlignment="1">
      <alignment horizontal="center" vertical="center"/>
    </xf>
    <xf numFmtId="176" fontId="3" fillId="2" borderId="46" xfId="0" applyNumberFormat="1" applyFont="1" applyFill="1" applyBorder="1" applyAlignment="1">
      <alignment horizontal="center" vertical="center"/>
    </xf>
    <xf numFmtId="0" fontId="8" fillId="2" borderId="26" xfId="0" applyFont="1" applyFill="1" applyBorder="1" applyAlignment="1">
      <alignment horizontal="center" vertical="center"/>
    </xf>
    <xf numFmtId="176" fontId="3" fillId="0" borderId="26" xfId="0" applyNumberFormat="1" applyFont="1" applyBorder="1" applyAlignment="1">
      <alignment horizontal="center" vertical="center"/>
    </xf>
    <xf numFmtId="176" fontId="4" fillId="2" borderId="17" xfId="0" applyNumberFormat="1" applyFont="1" applyFill="1" applyBorder="1">
      <alignment vertical="center"/>
    </xf>
    <xf numFmtId="176" fontId="4" fillId="2" borderId="15" xfId="0" applyNumberFormat="1" applyFont="1" applyFill="1" applyBorder="1">
      <alignment vertical="center"/>
    </xf>
    <xf numFmtId="176" fontId="4" fillId="2" borderId="22" xfId="0" applyNumberFormat="1" applyFont="1" applyFill="1" applyBorder="1">
      <alignment vertical="center"/>
    </xf>
    <xf numFmtId="0" fontId="3" fillId="2" borderId="30" xfId="0" applyFont="1" applyFill="1" applyBorder="1" applyAlignment="1">
      <alignment horizontal="center" vertical="center"/>
    </xf>
    <xf numFmtId="0" fontId="3" fillId="2" borderId="33" xfId="0" applyFont="1" applyFill="1" applyBorder="1" applyAlignment="1">
      <alignment horizontal="center" vertical="center"/>
    </xf>
    <xf numFmtId="49" fontId="3" fillId="2" borderId="16" xfId="0" applyNumberFormat="1" applyFont="1" applyFill="1" applyBorder="1" applyAlignment="1">
      <alignment horizontal="center" vertical="center"/>
    </xf>
    <xf numFmtId="0" fontId="3" fillId="2" borderId="48" xfId="0" applyFont="1" applyFill="1" applyBorder="1" applyAlignment="1">
      <alignment horizontal="center" vertical="center"/>
    </xf>
    <xf numFmtId="0" fontId="3" fillId="2" borderId="49" xfId="0" applyFont="1" applyFill="1" applyBorder="1" applyAlignment="1">
      <alignment horizontal="center" vertical="center"/>
    </xf>
    <xf numFmtId="0" fontId="3" fillId="2" borderId="50" xfId="0" applyFont="1" applyFill="1" applyBorder="1" applyAlignment="1">
      <alignment horizontal="center" vertical="center"/>
    </xf>
    <xf numFmtId="49" fontId="3" fillId="2" borderId="51" xfId="0" applyNumberFormat="1" applyFont="1" applyFill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49" fontId="5" fillId="2" borderId="42" xfId="0" applyNumberFormat="1" applyFont="1" applyFill="1" applyBorder="1" applyAlignment="1">
      <alignment horizontal="center" vertical="center"/>
    </xf>
    <xf numFmtId="49" fontId="3" fillId="2" borderId="25" xfId="0" applyNumberFormat="1" applyFont="1" applyFill="1" applyBorder="1" applyAlignment="1">
      <alignment horizontal="center" vertical="center"/>
    </xf>
    <xf numFmtId="49" fontId="3" fillId="2" borderId="19" xfId="0" applyNumberFormat="1" applyFont="1" applyFill="1" applyBorder="1" applyAlignment="1">
      <alignment horizontal="center" vertical="center"/>
    </xf>
    <xf numFmtId="176" fontId="2" fillId="2" borderId="48" xfId="0" applyNumberFormat="1" applyFont="1" applyFill="1" applyBorder="1" applyAlignment="1">
      <alignment horizontal="center" vertical="center"/>
    </xf>
    <xf numFmtId="49" fontId="3" fillId="2" borderId="46" xfId="0" applyNumberFormat="1" applyFont="1" applyFill="1" applyBorder="1" applyAlignment="1">
      <alignment horizontal="center" vertical="center"/>
    </xf>
    <xf numFmtId="0" fontId="3" fillId="0" borderId="49" xfId="0" applyFont="1" applyBorder="1" applyAlignment="1">
      <alignment horizontal="center" vertical="center"/>
    </xf>
    <xf numFmtId="176" fontId="3" fillId="0" borderId="49" xfId="0" applyNumberFormat="1" applyFont="1" applyBorder="1" applyAlignment="1">
      <alignment horizontal="center" vertical="center"/>
    </xf>
    <xf numFmtId="0" fontId="3" fillId="2" borderId="51" xfId="0" applyFont="1" applyFill="1" applyBorder="1" applyAlignment="1">
      <alignment horizontal="center" vertical="center"/>
    </xf>
    <xf numFmtId="0" fontId="3" fillId="2" borderId="44" xfId="0" applyFont="1" applyFill="1" applyBorder="1" applyAlignment="1">
      <alignment horizontal="center" vertical="center"/>
    </xf>
    <xf numFmtId="176" fontId="3" fillId="2" borderId="44" xfId="0" applyNumberFormat="1" applyFont="1" applyFill="1" applyBorder="1" applyAlignment="1">
      <alignment horizontal="center" vertical="center"/>
    </xf>
    <xf numFmtId="176" fontId="3" fillId="2" borderId="45" xfId="0" applyNumberFormat="1" applyFont="1" applyFill="1" applyBorder="1" applyAlignment="1">
      <alignment horizontal="center" vertical="center"/>
    </xf>
    <xf numFmtId="176" fontId="3" fillId="2" borderId="53" xfId="0" applyNumberFormat="1" applyFont="1" applyFill="1" applyBorder="1" applyAlignment="1">
      <alignment horizontal="center" vertical="center"/>
    </xf>
    <xf numFmtId="176" fontId="3" fillId="0" borderId="44" xfId="0" applyNumberFormat="1" applyFont="1" applyBorder="1" applyAlignment="1">
      <alignment horizontal="center" vertical="center"/>
    </xf>
    <xf numFmtId="176" fontId="3" fillId="0" borderId="45" xfId="0" applyNumberFormat="1" applyFont="1" applyBorder="1" applyAlignment="1">
      <alignment horizontal="center" vertical="center"/>
    </xf>
    <xf numFmtId="176" fontId="3" fillId="0" borderId="53" xfId="0" applyNumberFormat="1" applyFont="1" applyBorder="1" applyAlignment="1">
      <alignment horizontal="center" vertical="center"/>
    </xf>
    <xf numFmtId="0" fontId="3" fillId="0" borderId="48" xfId="0" applyFont="1" applyBorder="1" applyAlignment="1">
      <alignment horizontal="center" vertical="center"/>
    </xf>
    <xf numFmtId="176" fontId="4" fillId="0" borderId="49" xfId="0" applyNumberFormat="1" applyFont="1" applyBorder="1" applyAlignment="1">
      <alignment horizontal="center" vertical="center"/>
    </xf>
    <xf numFmtId="49" fontId="3" fillId="0" borderId="49" xfId="0" applyNumberFormat="1" applyFont="1" applyBorder="1" applyAlignment="1">
      <alignment horizontal="center" vertical="center"/>
    </xf>
    <xf numFmtId="176" fontId="3" fillId="0" borderId="51" xfId="0" applyNumberFormat="1" applyFont="1" applyBorder="1" applyAlignment="1">
      <alignment horizontal="center" vertical="center"/>
    </xf>
    <xf numFmtId="176" fontId="3" fillId="2" borderId="1" xfId="0" applyNumberFormat="1" applyFont="1" applyFill="1" applyBorder="1" applyAlignment="1">
      <alignment horizontal="center" vertical="center"/>
    </xf>
    <xf numFmtId="0" fontId="0" fillId="0" borderId="6" xfId="0" applyBorder="1" applyAlignment="1"/>
    <xf numFmtId="0" fontId="0" fillId="0" borderId="7" xfId="0" applyBorder="1" applyAlignment="1"/>
    <xf numFmtId="49" fontId="3" fillId="2" borderId="23" xfId="0" applyNumberFormat="1" applyFont="1" applyFill="1" applyBorder="1" applyAlignment="1">
      <alignment horizontal="center" vertical="center" wrapText="1"/>
    </xf>
    <xf numFmtId="0" fontId="0" fillId="0" borderId="42" xfId="0" applyBorder="1" applyAlignment="1"/>
    <xf numFmtId="49" fontId="3" fillId="2" borderId="7" xfId="0" applyNumberFormat="1" applyFont="1" applyFill="1" applyBorder="1" applyAlignment="1">
      <alignment horizontal="center" vertical="center" wrapText="1"/>
    </xf>
    <xf numFmtId="0" fontId="0" fillId="0" borderId="47" xfId="0" applyBorder="1" applyAlignment="1"/>
    <xf numFmtId="0" fontId="0" fillId="0" borderId="52" xfId="0" applyBorder="1" applyAlignment="1"/>
    <xf numFmtId="49" fontId="3" fillId="0" borderId="6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horizontal="center" vertical="center"/>
    </xf>
    <xf numFmtId="49" fontId="3" fillId="0" borderId="5" xfId="0" applyNumberFormat="1" applyFont="1" applyBorder="1" applyAlignment="1">
      <alignment horizontal="center" vertical="center"/>
    </xf>
    <xf numFmtId="176" fontId="3" fillId="2" borderId="2" xfId="0" applyNumberFormat="1" applyFont="1" applyFill="1" applyBorder="1" applyAlignment="1">
      <alignment horizontal="center" vertical="center"/>
    </xf>
    <xf numFmtId="0" fontId="0" fillId="0" borderId="3" xfId="0" applyBorder="1" applyAlignment="1"/>
    <xf numFmtId="176" fontId="3" fillId="2" borderId="3" xfId="0" applyNumberFormat="1" applyFont="1" applyFill="1" applyBorder="1" applyAlignment="1">
      <alignment horizontal="center" vertical="center"/>
    </xf>
    <xf numFmtId="49" fontId="3" fillId="2" borderId="42" xfId="0" applyNumberFormat="1" applyFont="1" applyFill="1" applyBorder="1" applyAlignment="1">
      <alignment horizontal="center" vertical="center" wrapText="1"/>
    </xf>
    <xf numFmtId="176" fontId="3" fillId="0" borderId="2" xfId="0" applyNumberFormat="1" applyFont="1" applyBorder="1" applyAlignment="1">
      <alignment horizontal="center" vertical="center"/>
    </xf>
  </cellXfs>
  <cellStyles count="1">
    <cellStyle name="常规" xfId="0" builtinId="0"/>
  </cellStyles>
  <dxfs count="1288">
    <dxf>
      <font>
        <color auto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rgb="FFFFFF00"/>
      </font>
    </dxf>
    <dxf>
      <font>
        <color rgb="FFFF0000"/>
      </font>
    </dxf>
    <dxf>
      <font>
        <color rgb="FF00B050"/>
      </font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00B050"/>
      </font>
      <fill>
        <patternFill>
          <bgColor theme="0"/>
        </patternFill>
      </fill>
    </dxf>
    <dxf>
      <font>
        <color rgb="FFFF0000"/>
      </font>
      <fill>
        <patternFill>
          <bgColor theme="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rgb="FFFF0000"/>
      </font>
    </dxf>
    <dxf>
      <font>
        <color rgb="FF00B05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rgb="FFFFC000"/>
      </font>
    </dxf>
    <dxf>
      <font>
        <b/>
        <color rgb="FF0070C0"/>
      </font>
    </dxf>
    <dxf>
      <font>
        <b/>
        <color rgb="FFFFC000"/>
      </font>
    </dxf>
    <dxf>
      <font>
        <b/>
        <color rgb="FF0070C0"/>
      </font>
    </dxf>
    <dxf>
      <font>
        <color rgb="FFFF0000"/>
      </font>
    </dxf>
    <dxf>
      <font>
        <color rgb="FF00B050"/>
      </font>
    </dxf>
    <dxf>
      <font>
        <b/>
        <color rgb="FFFFC000"/>
      </font>
    </dxf>
    <dxf>
      <font>
        <b/>
        <color rgb="FF0070C0"/>
      </font>
    </dxf>
    <dxf>
      <font>
        <b/>
        <color rgb="FFFFC000"/>
      </font>
    </dxf>
    <dxf>
      <font>
        <b/>
        <color rgb="FF0070C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rgb="FFFFC000"/>
      </font>
    </dxf>
    <dxf>
      <font>
        <b/>
        <color rgb="FF0070C0"/>
      </font>
    </dxf>
    <dxf>
      <font>
        <b/>
        <color rgb="FFFFC000"/>
      </font>
    </dxf>
    <dxf>
      <font>
        <b/>
        <color rgb="FF0070C0"/>
      </font>
    </dxf>
    <dxf>
      <font>
        <color rgb="FFFF0000"/>
      </font>
    </dxf>
    <dxf>
      <font>
        <color rgb="FF00B05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theme="9" tint="-0.24994659260841701"/>
      </font>
      <fill>
        <patternFill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rgb="FFFFC000"/>
      </font>
    </dxf>
    <dxf>
      <font>
        <b/>
        <color rgb="FF00B0F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rgb="FFFFC000"/>
      </font>
    </dxf>
    <dxf>
      <font>
        <b/>
        <color rgb="FF00B0F0"/>
      </font>
    </dxf>
    <dxf>
      <font>
        <b/>
        <i/>
        <color rgb="FFFFC000"/>
      </font>
    </dxf>
    <dxf>
      <font>
        <b/>
        <i/>
        <color rgb="FF0070C0"/>
      </font>
    </dxf>
    <dxf>
      <font>
        <b/>
        <i/>
        <color rgb="FFFFC000"/>
      </font>
    </dxf>
    <dxf>
      <font>
        <b/>
        <i/>
        <color rgb="FF0070C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/>
        <color rgb="FFFFC000"/>
      </font>
    </dxf>
    <dxf>
      <font>
        <b/>
        <i/>
        <color rgb="FF0070C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rgb="FFFFC000"/>
      </font>
    </dxf>
    <dxf>
      <font>
        <b/>
        <color rgb="FF00B0F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rgb="FFFFC000"/>
      </font>
    </dxf>
    <dxf>
      <font>
        <b/>
        <color rgb="FF00B0F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rgb="FFFFC000"/>
      </font>
    </dxf>
    <dxf>
      <font>
        <b/>
        <color rgb="FF00B0F0"/>
      </font>
    </dxf>
    <dxf>
      <font>
        <b/>
        <i/>
        <color rgb="FFFFC000"/>
      </font>
    </dxf>
    <dxf>
      <font>
        <b/>
        <i/>
        <color rgb="FF0070C0"/>
      </font>
    </dxf>
    <dxf>
      <font>
        <b/>
        <i/>
        <color rgb="FFFFC000"/>
      </font>
    </dxf>
    <dxf>
      <font>
        <b/>
        <i/>
        <color rgb="FF0070C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/>
        <color rgb="FFFFC000"/>
      </font>
    </dxf>
    <dxf>
      <font>
        <b/>
        <i/>
        <color rgb="FF0070C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rgb="FFFFC000"/>
      </font>
    </dxf>
    <dxf>
      <font>
        <b/>
        <color rgb="FF00B0F0"/>
      </font>
    </dxf>
    <dxf>
      <font>
        <b/>
        <color rgb="FFFF0000"/>
      </font>
    </dxf>
    <dxf>
      <font>
        <b/>
        <color rgb="FF00B050"/>
      </font>
    </dxf>
    <dxf>
      <font>
        <b/>
        <color rgb="FFFFFF00"/>
      </font>
      <fill>
        <patternFill>
          <bgColor rgb="FFFF0000"/>
        </patternFill>
      </fill>
    </dxf>
    <dxf>
      <font>
        <b/>
        <color theme="0"/>
      </font>
      <fill>
        <patternFill>
          <bgColor rgb="FF00B050"/>
        </patternFill>
      </fill>
    </dxf>
    <dxf>
      <font>
        <b/>
        <color rgb="FFFFFF00"/>
      </font>
      <fill>
        <patternFill>
          <bgColor rgb="FFFF0000"/>
        </patternFill>
      </fill>
    </dxf>
    <dxf>
      <font>
        <b/>
        <color theme="0"/>
      </font>
      <fill>
        <patternFill>
          <bgColor rgb="FF00B050"/>
        </patternFill>
      </fill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color rgb="FFFFFF00"/>
      </font>
      <fill>
        <patternFill>
          <bgColor rgb="FFFF0000"/>
        </patternFill>
      </fill>
    </dxf>
    <dxf>
      <font>
        <b/>
        <color theme="0"/>
      </font>
      <fill>
        <patternFill>
          <bgColor rgb="FF00B050"/>
        </patternFill>
      </fill>
    </dxf>
    <dxf>
      <font>
        <b/>
        <color rgb="FFFFFF00"/>
      </font>
      <fill>
        <patternFill>
          <bgColor rgb="FFFF0000"/>
        </patternFill>
      </fill>
    </dxf>
    <dxf>
      <font>
        <b/>
        <color theme="0"/>
      </font>
      <fill>
        <patternFill>
          <bgColor rgb="FF00B050"/>
        </patternFill>
      </fill>
    </dxf>
    <dxf>
      <font>
        <b/>
        <color rgb="FFFF0000"/>
      </font>
    </dxf>
    <dxf>
      <font>
        <b/>
        <color rgb="FF00B050"/>
      </font>
    </dxf>
    <dxf>
      <font>
        <b/>
        <color rgb="FFFF0000"/>
      </font>
    </dxf>
    <dxf>
      <font>
        <b/>
        <color rgb="FF00B050"/>
      </font>
    </dxf>
    <dxf>
      <font>
        <b/>
        <color rgb="FFFF0000"/>
      </font>
    </dxf>
    <dxf>
      <font>
        <b/>
        <color rgb="FF00B050"/>
      </font>
    </dxf>
    <dxf>
      <font>
        <color theme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rgb="FFFFC000"/>
      </font>
    </dxf>
    <dxf>
      <font>
        <b/>
        <color rgb="FFFFC000"/>
      </font>
    </dxf>
    <dxf>
      <font>
        <b/>
        <color rgb="FFFFC000"/>
      </font>
    </dxf>
    <dxf>
      <font>
        <b/>
        <color rgb="FFFFC000"/>
      </font>
    </dxf>
    <dxf>
      <font>
        <b/>
        <color rgb="FFFFC000"/>
      </font>
    </dxf>
    <dxf>
      <font>
        <b/>
        <color rgb="FFFFC000"/>
      </font>
    </dxf>
    <dxf>
      <font>
        <b/>
        <color rgb="FFFFC000"/>
      </font>
    </dxf>
    <dxf>
      <font>
        <color theme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rgb="FFFF0000"/>
      </font>
    </dxf>
    <dxf>
      <font>
        <b/>
        <color rgb="FF00B050"/>
      </font>
    </dxf>
    <dxf>
      <font>
        <b/>
        <color rgb="FFFF0000"/>
      </font>
    </dxf>
    <dxf>
      <font>
        <b/>
        <color rgb="FF00B050"/>
      </font>
    </dxf>
    <dxf>
      <font>
        <b/>
        <color rgb="FFFF0000"/>
      </font>
    </dxf>
    <dxf>
      <font>
        <b/>
        <color rgb="FF00B050"/>
      </font>
    </dxf>
    <dxf>
      <font>
        <color theme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rgb="FFFFC000"/>
      </font>
    </dxf>
    <dxf>
      <font>
        <b/>
        <color rgb="FFFFC000"/>
      </font>
    </dxf>
    <dxf>
      <font>
        <b/>
        <color rgb="FFFFC000"/>
      </font>
    </dxf>
    <dxf>
      <font>
        <b/>
        <color rgb="FFFFC000"/>
      </font>
    </dxf>
    <dxf>
      <font>
        <b/>
        <color rgb="FFFFC000"/>
      </font>
    </dxf>
    <dxf>
      <font>
        <b/>
        <color rgb="FFFFC000"/>
      </font>
    </dxf>
    <dxf>
      <font>
        <b/>
        <color rgb="FFFFC000"/>
      </font>
    </dxf>
    <dxf>
      <font>
        <color theme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rgb="FFFFFF00"/>
      </font>
    </dxf>
    <dxf>
      <font>
        <color rgb="FFFF0000"/>
      </font>
    </dxf>
    <dxf>
      <font>
        <color rgb="FF00B050"/>
      </font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00B050"/>
      </font>
      <fill>
        <patternFill>
          <bgColor theme="0"/>
        </patternFill>
      </fill>
    </dxf>
    <dxf>
      <font>
        <color rgb="FFFF0000"/>
      </font>
      <fill>
        <patternFill>
          <bgColor theme="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rgb="FFFF0000"/>
      </font>
    </dxf>
    <dxf>
      <font>
        <color rgb="FF00B05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rgb="FFFFC000"/>
      </font>
    </dxf>
    <dxf>
      <font>
        <b/>
        <color rgb="FF0070C0"/>
      </font>
    </dxf>
    <dxf>
      <font>
        <b/>
        <color rgb="FFFFC000"/>
      </font>
    </dxf>
    <dxf>
      <font>
        <b/>
        <color rgb="FF0070C0"/>
      </font>
    </dxf>
    <dxf>
      <font>
        <color rgb="FFFF0000"/>
      </font>
    </dxf>
    <dxf>
      <font>
        <color rgb="FF00B050"/>
      </font>
    </dxf>
    <dxf>
      <font>
        <b/>
        <color rgb="FFFFC000"/>
      </font>
    </dxf>
    <dxf>
      <font>
        <b/>
        <color rgb="FF0070C0"/>
      </font>
    </dxf>
    <dxf>
      <font>
        <b/>
        <color rgb="FFFFC000"/>
      </font>
    </dxf>
    <dxf>
      <font>
        <b/>
        <color rgb="FF0070C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rgb="FFFFC000"/>
      </font>
    </dxf>
    <dxf>
      <font>
        <b/>
        <color rgb="FF0070C0"/>
      </font>
    </dxf>
    <dxf>
      <font>
        <b/>
        <color rgb="FFFFC000"/>
      </font>
    </dxf>
    <dxf>
      <font>
        <b/>
        <color rgb="FF0070C0"/>
      </font>
    </dxf>
    <dxf>
      <font>
        <color rgb="FFFF0000"/>
      </font>
    </dxf>
    <dxf>
      <font>
        <color rgb="FF00B05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theme="9" tint="-0.24994659260841701"/>
      </font>
      <fill>
        <patternFill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rgb="FFFFC000"/>
      </font>
    </dxf>
    <dxf>
      <font>
        <b/>
        <color rgb="FF00B0F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rgb="FFFFC000"/>
      </font>
    </dxf>
    <dxf>
      <font>
        <b/>
        <color rgb="FF00B0F0"/>
      </font>
    </dxf>
    <dxf>
      <font>
        <b/>
        <i/>
        <color rgb="FFFFC000"/>
      </font>
    </dxf>
    <dxf>
      <font>
        <b/>
        <i/>
        <color rgb="FF0070C0"/>
      </font>
    </dxf>
    <dxf>
      <font>
        <b/>
        <i/>
        <color rgb="FFFFC000"/>
      </font>
    </dxf>
    <dxf>
      <font>
        <b/>
        <i/>
        <color rgb="FF0070C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/>
        <color rgb="FFFFC000"/>
      </font>
    </dxf>
    <dxf>
      <font>
        <b/>
        <i/>
        <color rgb="FF0070C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rgb="FFFFC000"/>
      </font>
    </dxf>
    <dxf>
      <font>
        <b/>
        <color rgb="FF00B0F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rgb="FFFFC000"/>
      </font>
    </dxf>
    <dxf>
      <font>
        <b/>
        <color rgb="FF00B0F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rgb="FFFFC000"/>
      </font>
    </dxf>
    <dxf>
      <font>
        <b/>
        <color rgb="FF00B0F0"/>
      </font>
    </dxf>
    <dxf>
      <font>
        <b/>
        <i/>
        <color rgb="FFFFC000"/>
      </font>
    </dxf>
    <dxf>
      <font>
        <b/>
        <i/>
        <color rgb="FF0070C0"/>
      </font>
    </dxf>
    <dxf>
      <font>
        <b/>
        <i/>
        <color rgb="FFFFC000"/>
      </font>
    </dxf>
    <dxf>
      <font>
        <b/>
        <i/>
        <color rgb="FF0070C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/>
        <color rgb="FFFFC000"/>
      </font>
    </dxf>
    <dxf>
      <font>
        <b/>
        <i/>
        <color rgb="FF0070C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rgb="FFFFC000"/>
      </font>
    </dxf>
    <dxf>
      <font>
        <b/>
        <color rgb="FF00B0F0"/>
      </font>
    </dxf>
    <dxf>
      <font>
        <b/>
        <color rgb="FFFF0000"/>
      </font>
    </dxf>
    <dxf>
      <font>
        <b/>
        <color rgb="FF00B050"/>
      </font>
    </dxf>
    <dxf>
      <font>
        <b/>
        <color rgb="FFFFFF00"/>
      </font>
      <fill>
        <patternFill>
          <bgColor rgb="FFFF0000"/>
        </patternFill>
      </fill>
    </dxf>
    <dxf>
      <font>
        <b/>
        <color theme="0"/>
      </font>
      <fill>
        <patternFill>
          <bgColor rgb="FF00B050"/>
        </patternFill>
      </fill>
    </dxf>
    <dxf>
      <font>
        <b/>
        <color rgb="FFFFFF00"/>
      </font>
      <fill>
        <patternFill>
          <bgColor rgb="FFFF0000"/>
        </patternFill>
      </fill>
    </dxf>
    <dxf>
      <font>
        <b/>
        <color theme="0"/>
      </font>
      <fill>
        <patternFill>
          <bgColor rgb="FF00B050"/>
        </patternFill>
      </fill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color rgb="FFFFFF00"/>
      </font>
      <fill>
        <patternFill>
          <bgColor rgb="FFFF0000"/>
        </patternFill>
      </fill>
    </dxf>
    <dxf>
      <font>
        <b/>
        <color theme="0"/>
      </font>
      <fill>
        <patternFill>
          <bgColor rgb="FF00B050"/>
        </patternFill>
      </fill>
    </dxf>
    <dxf>
      <font>
        <b/>
        <color rgb="FFFFFF00"/>
      </font>
      <fill>
        <patternFill>
          <bgColor rgb="FFFF0000"/>
        </patternFill>
      </fill>
    </dxf>
    <dxf>
      <font>
        <b/>
        <color theme="0"/>
      </font>
      <fill>
        <patternFill>
          <bgColor rgb="FF00B050"/>
        </patternFill>
      </fill>
    </dxf>
    <dxf>
      <font>
        <b/>
        <color rgb="FFFF0000"/>
      </font>
    </dxf>
    <dxf>
      <font>
        <b/>
        <color rgb="FF00B050"/>
      </font>
    </dxf>
    <dxf>
      <font>
        <b/>
        <color rgb="FFFF0000"/>
      </font>
    </dxf>
    <dxf>
      <font>
        <b/>
        <color rgb="FF00B050"/>
      </font>
    </dxf>
    <dxf>
      <font>
        <b/>
        <color rgb="FFFF0000"/>
      </font>
    </dxf>
    <dxf>
      <font>
        <b/>
        <color rgb="FF00B050"/>
      </font>
    </dxf>
    <dxf>
      <font>
        <color theme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rgb="FFFFC000"/>
      </font>
    </dxf>
    <dxf>
      <font>
        <b/>
        <color rgb="FFFFC000"/>
      </font>
    </dxf>
    <dxf>
      <font>
        <b/>
        <color rgb="FFFFC000"/>
      </font>
    </dxf>
    <dxf>
      <font>
        <b/>
        <color rgb="FFFFC000"/>
      </font>
    </dxf>
    <dxf>
      <font>
        <b/>
        <color rgb="FFFFC000"/>
      </font>
    </dxf>
    <dxf>
      <font>
        <b/>
        <color rgb="FFFFC000"/>
      </font>
    </dxf>
    <dxf>
      <font>
        <b/>
        <color rgb="FFFFC000"/>
      </font>
    </dxf>
    <dxf>
      <font>
        <color theme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rgb="FFFF0000"/>
      </font>
    </dxf>
    <dxf>
      <font>
        <b/>
        <color rgb="FF00B050"/>
      </font>
    </dxf>
    <dxf>
      <font>
        <b/>
        <color rgb="FFFF0000"/>
      </font>
    </dxf>
    <dxf>
      <font>
        <b/>
        <color rgb="FF00B050"/>
      </font>
    </dxf>
    <dxf>
      <font>
        <b/>
        <color rgb="FFFF0000"/>
      </font>
    </dxf>
    <dxf>
      <font>
        <b/>
        <color rgb="FF00B050"/>
      </font>
    </dxf>
    <dxf>
      <font>
        <color theme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rgb="FFFFC000"/>
      </font>
    </dxf>
    <dxf>
      <font>
        <b/>
        <color rgb="FFFFC000"/>
      </font>
    </dxf>
    <dxf>
      <font>
        <b/>
        <color rgb="FFFFC000"/>
      </font>
    </dxf>
    <dxf>
      <font>
        <b/>
        <color rgb="FFFFC000"/>
      </font>
    </dxf>
    <dxf>
      <font>
        <b/>
        <color rgb="FFFFC000"/>
      </font>
    </dxf>
    <dxf>
      <font>
        <b/>
        <color rgb="FFFFC000"/>
      </font>
    </dxf>
    <dxf>
      <font>
        <b/>
        <color rgb="FFFFC000"/>
      </font>
    </dxf>
    <dxf>
      <font>
        <color theme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rgb="FFFFFF00"/>
      </font>
    </dxf>
    <dxf>
      <font>
        <color rgb="FFFF0000"/>
      </font>
    </dxf>
    <dxf>
      <font>
        <color rgb="FF00B050"/>
      </font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00B050"/>
      </font>
      <fill>
        <patternFill>
          <bgColor theme="0"/>
        </patternFill>
      </fill>
    </dxf>
    <dxf>
      <font>
        <color rgb="FFFF0000"/>
      </font>
      <fill>
        <patternFill>
          <bgColor theme="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rgb="FFFF0000"/>
      </font>
    </dxf>
    <dxf>
      <font>
        <color rgb="FF00B05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rgb="FFFFC000"/>
      </font>
    </dxf>
    <dxf>
      <font>
        <b/>
        <color rgb="FF0070C0"/>
      </font>
    </dxf>
    <dxf>
      <font>
        <b/>
        <color rgb="FFFFC000"/>
      </font>
    </dxf>
    <dxf>
      <font>
        <b/>
        <color rgb="FF0070C0"/>
      </font>
    </dxf>
    <dxf>
      <font>
        <color rgb="FFFF0000"/>
      </font>
    </dxf>
    <dxf>
      <font>
        <color rgb="FF00B050"/>
      </font>
    </dxf>
    <dxf>
      <font>
        <b/>
        <color rgb="FFFFC000"/>
      </font>
    </dxf>
    <dxf>
      <font>
        <b/>
        <color rgb="FF0070C0"/>
      </font>
    </dxf>
    <dxf>
      <font>
        <b/>
        <color rgb="FFFFC000"/>
      </font>
    </dxf>
    <dxf>
      <font>
        <b/>
        <color rgb="FF0070C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rgb="FFFFC000"/>
      </font>
    </dxf>
    <dxf>
      <font>
        <b/>
        <color rgb="FF0070C0"/>
      </font>
    </dxf>
    <dxf>
      <font>
        <b/>
        <color rgb="FFFFC000"/>
      </font>
    </dxf>
    <dxf>
      <font>
        <b/>
        <color rgb="FF0070C0"/>
      </font>
    </dxf>
    <dxf>
      <font>
        <color rgb="FFFF0000"/>
      </font>
    </dxf>
    <dxf>
      <font>
        <color rgb="FF00B05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theme="9" tint="-0.24994659260841701"/>
      </font>
      <fill>
        <patternFill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rgb="FFFFC000"/>
      </font>
    </dxf>
    <dxf>
      <font>
        <b/>
        <color rgb="FF00B0F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rgb="FFFFC000"/>
      </font>
    </dxf>
    <dxf>
      <font>
        <b/>
        <color rgb="FF00B0F0"/>
      </font>
    </dxf>
    <dxf>
      <font>
        <b/>
        <i/>
        <color rgb="FFFFC000"/>
      </font>
    </dxf>
    <dxf>
      <font>
        <b/>
        <i/>
        <color rgb="FF0070C0"/>
      </font>
    </dxf>
    <dxf>
      <font>
        <b/>
        <i/>
        <color rgb="FFFFC000"/>
      </font>
    </dxf>
    <dxf>
      <font>
        <b/>
        <i/>
        <color rgb="FF0070C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/>
        <color rgb="FFFFC000"/>
      </font>
    </dxf>
    <dxf>
      <font>
        <b/>
        <i/>
        <color rgb="FF0070C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rgb="FFFFC000"/>
      </font>
    </dxf>
    <dxf>
      <font>
        <b/>
        <color rgb="FF00B0F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rgb="FFFFC000"/>
      </font>
    </dxf>
    <dxf>
      <font>
        <b/>
        <color rgb="FF00B0F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rgb="FFFFC000"/>
      </font>
    </dxf>
    <dxf>
      <font>
        <b/>
        <color rgb="FF00B0F0"/>
      </font>
    </dxf>
    <dxf>
      <font>
        <b/>
        <i/>
        <color rgb="FFFFC000"/>
      </font>
    </dxf>
    <dxf>
      <font>
        <b/>
        <i/>
        <color rgb="FF0070C0"/>
      </font>
    </dxf>
    <dxf>
      <font>
        <b/>
        <i/>
        <color rgb="FFFFC000"/>
      </font>
    </dxf>
    <dxf>
      <font>
        <b/>
        <i/>
        <color rgb="FF0070C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/>
        <color rgb="FFFFC000"/>
      </font>
    </dxf>
    <dxf>
      <font>
        <b/>
        <i/>
        <color rgb="FF0070C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rgb="FFFFC000"/>
      </font>
    </dxf>
    <dxf>
      <font>
        <b/>
        <color rgb="FF00B0F0"/>
      </font>
    </dxf>
    <dxf>
      <font>
        <b/>
        <color rgb="FFFF0000"/>
      </font>
    </dxf>
    <dxf>
      <font>
        <b/>
        <color rgb="FF00B050"/>
      </font>
    </dxf>
    <dxf>
      <font>
        <b/>
        <color rgb="FFFFFF00"/>
      </font>
      <fill>
        <patternFill>
          <bgColor rgb="FFFF0000"/>
        </patternFill>
      </fill>
    </dxf>
    <dxf>
      <font>
        <b/>
        <color theme="0"/>
      </font>
      <fill>
        <patternFill>
          <bgColor rgb="FF00B050"/>
        </patternFill>
      </fill>
    </dxf>
    <dxf>
      <font>
        <b/>
        <color rgb="FFFFFF00"/>
      </font>
      <fill>
        <patternFill>
          <bgColor rgb="FFFF0000"/>
        </patternFill>
      </fill>
    </dxf>
    <dxf>
      <font>
        <b/>
        <color theme="0"/>
      </font>
      <fill>
        <patternFill>
          <bgColor rgb="FF00B050"/>
        </patternFill>
      </fill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color rgb="FFFFFF00"/>
      </font>
      <fill>
        <patternFill>
          <bgColor rgb="FFFF0000"/>
        </patternFill>
      </fill>
    </dxf>
    <dxf>
      <font>
        <b/>
        <color theme="0"/>
      </font>
      <fill>
        <patternFill>
          <bgColor rgb="FF00B050"/>
        </patternFill>
      </fill>
    </dxf>
    <dxf>
      <font>
        <b/>
        <color rgb="FFFFFF00"/>
      </font>
      <fill>
        <patternFill>
          <bgColor rgb="FFFF0000"/>
        </patternFill>
      </fill>
    </dxf>
    <dxf>
      <font>
        <b/>
        <color theme="0"/>
      </font>
      <fill>
        <patternFill>
          <bgColor rgb="FF00B050"/>
        </patternFill>
      </fill>
    </dxf>
    <dxf>
      <font>
        <b/>
        <color rgb="FFFF0000"/>
      </font>
    </dxf>
    <dxf>
      <font>
        <b/>
        <color rgb="FF00B050"/>
      </font>
    </dxf>
    <dxf>
      <font>
        <b/>
        <color rgb="FFFF0000"/>
      </font>
    </dxf>
    <dxf>
      <font>
        <b/>
        <color rgb="FF00B050"/>
      </font>
    </dxf>
    <dxf>
      <font>
        <b/>
        <color rgb="FFFF0000"/>
      </font>
    </dxf>
    <dxf>
      <font>
        <b/>
        <color rgb="FF00B050"/>
      </font>
    </dxf>
    <dxf>
      <font>
        <color theme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rgb="FFFFC000"/>
      </font>
    </dxf>
    <dxf>
      <font>
        <b/>
        <color rgb="FFFFC000"/>
      </font>
    </dxf>
    <dxf>
      <font>
        <b/>
        <color rgb="FFFFC000"/>
      </font>
    </dxf>
    <dxf>
      <font>
        <b/>
        <color rgb="FFFFC000"/>
      </font>
    </dxf>
    <dxf>
      <font>
        <b/>
        <color rgb="FFFFC000"/>
      </font>
    </dxf>
    <dxf>
      <font>
        <b/>
        <color rgb="FFFFC000"/>
      </font>
    </dxf>
    <dxf>
      <font>
        <b/>
        <color rgb="FFFFC000"/>
      </font>
    </dxf>
    <dxf>
      <font>
        <color theme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rgb="FFFF0000"/>
      </font>
    </dxf>
    <dxf>
      <font>
        <b/>
        <color rgb="FF00B050"/>
      </font>
    </dxf>
    <dxf>
      <font>
        <b/>
        <color rgb="FFFF0000"/>
      </font>
    </dxf>
    <dxf>
      <font>
        <b/>
        <color rgb="FF00B050"/>
      </font>
    </dxf>
    <dxf>
      <font>
        <b/>
        <color rgb="FFFF0000"/>
      </font>
    </dxf>
    <dxf>
      <font>
        <b/>
        <color rgb="FF00B050"/>
      </font>
    </dxf>
    <dxf>
      <font>
        <color theme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rgb="FFFFC000"/>
      </font>
    </dxf>
    <dxf>
      <font>
        <b/>
        <color rgb="FFFFC000"/>
      </font>
    </dxf>
    <dxf>
      <font>
        <b/>
        <color rgb="FFFFC000"/>
      </font>
    </dxf>
    <dxf>
      <font>
        <b/>
        <color rgb="FFFFC000"/>
      </font>
    </dxf>
    <dxf>
      <font>
        <b/>
        <color rgb="FFFFC000"/>
      </font>
    </dxf>
    <dxf>
      <font>
        <b/>
        <color rgb="FFFFC000"/>
      </font>
    </dxf>
    <dxf>
      <font>
        <b/>
        <color rgb="FFFFC000"/>
      </font>
    </dxf>
    <dxf>
      <font>
        <color theme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rgb="FFFFFF00"/>
      </font>
    </dxf>
    <dxf>
      <font>
        <color rgb="FFFF0000"/>
      </font>
    </dxf>
    <dxf>
      <font>
        <color rgb="FF00B050"/>
      </font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00B050"/>
      </font>
      <fill>
        <patternFill>
          <bgColor theme="0"/>
        </patternFill>
      </fill>
    </dxf>
    <dxf>
      <font>
        <color rgb="FFFF0000"/>
      </font>
      <fill>
        <patternFill>
          <bgColor theme="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rgb="FFFF0000"/>
      </font>
    </dxf>
    <dxf>
      <font>
        <color rgb="FF00B05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rgb="FFFFC000"/>
      </font>
    </dxf>
    <dxf>
      <font>
        <b/>
        <color rgb="FF0070C0"/>
      </font>
    </dxf>
    <dxf>
      <font>
        <b/>
        <color rgb="FFFFC000"/>
      </font>
    </dxf>
    <dxf>
      <font>
        <b/>
        <color rgb="FF0070C0"/>
      </font>
    </dxf>
    <dxf>
      <font>
        <color rgb="FFFF0000"/>
      </font>
    </dxf>
    <dxf>
      <font>
        <color rgb="FF00B050"/>
      </font>
    </dxf>
    <dxf>
      <font>
        <b/>
        <color rgb="FFFFC000"/>
      </font>
    </dxf>
    <dxf>
      <font>
        <b/>
        <color rgb="FF0070C0"/>
      </font>
    </dxf>
    <dxf>
      <font>
        <b/>
        <color rgb="FFFFC000"/>
      </font>
    </dxf>
    <dxf>
      <font>
        <b/>
        <color rgb="FF0070C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rgb="FFFFC000"/>
      </font>
    </dxf>
    <dxf>
      <font>
        <b/>
        <color rgb="FF0070C0"/>
      </font>
    </dxf>
    <dxf>
      <font>
        <b/>
        <color rgb="FFFFC000"/>
      </font>
    </dxf>
    <dxf>
      <font>
        <b/>
        <color rgb="FF0070C0"/>
      </font>
    </dxf>
    <dxf>
      <font>
        <color rgb="FFFF0000"/>
      </font>
    </dxf>
    <dxf>
      <font>
        <color rgb="FF00B05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theme="9" tint="-0.24994659260841701"/>
      </font>
      <fill>
        <patternFill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rgb="FFFFC000"/>
      </font>
    </dxf>
    <dxf>
      <font>
        <b/>
        <color rgb="FF00B0F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rgb="FFFFC000"/>
      </font>
    </dxf>
    <dxf>
      <font>
        <b/>
        <color rgb="FF00B0F0"/>
      </font>
    </dxf>
    <dxf>
      <font>
        <b/>
        <i/>
        <color rgb="FFFFC000"/>
      </font>
    </dxf>
    <dxf>
      <font>
        <b/>
        <i/>
        <color rgb="FF0070C0"/>
      </font>
    </dxf>
    <dxf>
      <font>
        <b/>
        <i/>
        <color rgb="FFFFC000"/>
      </font>
    </dxf>
    <dxf>
      <font>
        <b/>
        <i/>
        <color rgb="FF0070C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/>
        <color rgb="FFFFC000"/>
      </font>
    </dxf>
    <dxf>
      <font>
        <b/>
        <i/>
        <color rgb="FF0070C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rgb="FFFFC000"/>
      </font>
    </dxf>
    <dxf>
      <font>
        <b/>
        <color rgb="FF00B0F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rgb="FFFFC000"/>
      </font>
    </dxf>
    <dxf>
      <font>
        <b/>
        <color rgb="FF00B0F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rgb="FFFFC000"/>
      </font>
    </dxf>
    <dxf>
      <font>
        <b/>
        <color rgb="FF00B0F0"/>
      </font>
    </dxf>
    <dxf>
      <font>
        <b/>
        <i/>
        <color rgb="FFFFC000"/>
      </font>
    </dxf>
    <dxf>
      <font>
        <b/>
        <i/>
        <color rgb="FF0070C0"/>
      </font>
    </dxf>
    <dxf>
      <font>
        <b/>
        <i/>
        <color rgb="FFFFC000"/>
      </font>
    </dxf>
    <dxf>
      <font>
        <b/>
        <i/>
        <color rgb="FF0070C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/>
        <color rgb="FFFFC000"/>
      </font>
    </dxf>
    <dxf>
      <font>
        <b/>
        <i/>
        <color rgb="FF0070C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rgb="FFFFC000"/>
      </font>
    </dxf>
    <dxf>
      <font>
        <b/>
        <color rgb="FF00B0F0"/>
      </font>
    </dxf>
    <dxf>
      <font>
        <b/>
        <color rgb="FFFF0000"/>
      </font>
    </dxf>
    <dxf>
      <font>
        <b/>
        <color rgb="FF00B050"/>
      </font>
    </dxf>
    <dxf>
      <font>
        <b/>
        <color rgb="FFFFFF00"/>
      </font>
      <fill>
        <patternFill>
          <bgColor rgb="FFFF0000"/>
        </patternFill>
      </fill>
    </dxf>
    <dxf>
      <font>
        <b/>
        <color theme="0"/>
      </font>
      <fill>
        <patternFill>
          <bgColor rgb="FF00B050"/>
        </patternFill>
      </fill>
    </dxf>
    <dxf>
      <font>
        <b/>
        <color rgb="FFFFFF00"/>
      </font>
      <fill>
        <patternFill>
          <bgColor rgb="FFFF0000"/>
        </patternFill>
      </fill>
    </dxf>
    <dxf>
      <font>
        <b/>
        <color theme="0"/>
      </font>
      <fill>
        <patternFill>
          <bgColor rgb="FF00B050"/>
        </patternFill>
      </fill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color rgb="FFFFFF00"/>
      </font>
      <fill>
        <patternFill>
          <bgColor rgb="FFFF0000"/>
        </patternFill>
      </fill>
    </dxf>
    <dxf>
      <font>
        <b/>
        <color theme="0"/>
      </font>
      <fill>
        <patternFill>
          <bgColor rgb="FF00B050"/>
        </patternFill>
      </fill>
    </dxf>
    <dxf>
      <font>
        <b/>
        <color rgb="FFFFFF00"/>
      </font>
      <fill>
        <patternFill>
          <bgColor rgb="FFFF0000"/>
        </patternFill>
      </fill>
    </dxf>
    <dxf>
      <font>
        <b/>
        <color theme="0"/>
      </font>
      <fill>
        <patternFill>
          <bgColor rgb="FF00B050"/>
        </patternFill>
      </fill>
    </dxf>
    <dxf>
      <font>
        <b/>
        <color rgb="FFFF0000"/>
      </font>
    </dxf>
    <dxf>
      <font>
        <b/>
        <color rgb="FF00B050"/>
      </font>
    </dxf>
    <dxf>
      <font>
        <b/>
        <color rgb="FFFF0000"/>
      </font>
    </dxf>
    <dxf>
      <font>
        <b/>
        <color rgb="FF00B050"/>
      </font>
    </dxf>
    <dxf>
      <font>
        <b/>
        <color rgb="FFFF0000"/>
      </font>
    </dxf>
    <dxf>
      <font>
        <b/>
        <color rgb="FF00B050"/>
      </font>
    </dxf>
    <dxf>
      <font>
        <color theme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rgb="FFFFC000"/>
      </font>
    </dxf>
    <dxf>
      <font>
        <b/>
        <color rgb="FFFFC000"/>
      </font>
    </dxf>
    <dxf>
      <font>
        <b/>
        <color rgb="FFFFC000"/>
      </font>
    </dxf>
    <dxf>
      <font>
        <b/>
        <color rgb="FFFFC000"/>
      </font>
    </dxf>
    <dxf>
      <font>
        <b/>
        <color rgb="FFFFC000"/>
      </font>
    </dxf>
    <dxf>
      <font>
        <b/>
        <color rgb="FFFFC000"/>
      </font>
    </dxf>
    <dxf>
      <font>
        <b/>
        <color rgb="FFFFC000"/>
      </font>
    </dxf>
    <dxf>
      <font>
        <color theme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rgb="FFFF0000"/>
      </font>
    </dxf>
    <dxf>
      <font>
        <b/>
        <color rgb="FF00B050"/>
      </font>
    </dxf>
    <dxf>
      <font>
        <b/>
        <color rgb="FFFF0000"/>
      </font>
    </dxf>
    <dxf>
      <font>
        <b/>
        <color rgb="FF00B050"/>
      </font>
    </dxf>
    <dxf>
      <font>
        <b/>
        <color rgb="FFFF0000"/>
      </font>
    </dxf>
    <dxf>
      <font>
        <b/>
        <color rgb="FF00B050"/>
      </font>
    </dxf>
    <dxf>
      <font>
        <color theme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rgb="FFFFC000"/>
      </font>
    </dxf>
    <dxf>
      <font>
        <b/>
        <color rgb="FFFFC000"/>
      </font>
    </dxf>
    <dxf>
      <font>
        <b/>
        <color rgb="FFFFC000"/>
      </font>
    </dxf>
    <dxf>
      <font>
        <b/>
        <color rgb="FFFFC000"/>
      </font>
    </dxf>
    <dxf>
      <font>
        <b/>
        <color rgb="FFFFC000"/>
      </font>
    </dxf>
    <dxf>
      <font>
        <b/>
        <color rgb="FFFFC000"/>
      </font>
    </dxf>
    <dxf>
      <font>
        <b/>
        <color rgb="FFFFC000"/>
      </font>
    </dxf>
    <dxf>
      <font>
        <color theme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rgb="FFFFFF00"/>
      </font>
    </dxf>
    <dxf>
      <font>
        <color rgb="FFFF0000"/>
      </font>
    </dxf>
    <dxf>
      <font>
        <color rgb="FF00B050"/>
      </font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00B050"/>
      </font>
      <fill>
        <patternFill>
          <bgColor theme="0"/>
        </patternFill>
      </fill>
    </dxf>
    <dxf>
      <font>
        <color rgb="FFFF0000"/>
      </font>
      <fill>
        <patternFill>
          <bgColor theme="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rgb="FFFF0000"/>
      </font>
    </dxf>
    <dxf>
      <font>
        <color rgb="FF00B05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rgb="FFFFC000"/>
      </font>
    </dxf>
    <dxf>
      <font>
        <b/>
        <color rgb="FF0070C0"/>
      </font>
    </dxf>
    <dxf>
      <font>
        <b/>
        <color rgb="FFFFC000"/>
      </font>
    </dxf>
    <dxf>
      <font>
        <b/>
        <color rgb="FF0070C0"/>
      </font>
    </dxf>
    <dxf>
      <font>
        <color rgb="FFFF0000"/>
      </font>
    </dxf>
    <dxf>
      <font>
        <color rgb="FF00B050"/>
      </font>
    </dxf>
    <dxf>
      <font>
        <b/>
        <color rgb="FFFFC000"/>
      </font>
    </dxf>
    <dxf>
      <font>
        <b/>
        <color rgb="FF0070C0"/>
      </font>
    </dxf>
    <dxf>
      <font>
        <b/>
        <color rgb="FFFFC000"/>
      </font>
    </dxf>
    <dxf>
      <font>
        <b/>
        <color rgb="FF0070C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rgb="FFFFC000"/>
      </font>
    </dxf>
    <dxf>
      <font>
        <b/>
        <color rgb="FF0070C0"/>
      </font>
    </dxf>
    <dxf>
      <font>
        <b/>
        <color rgb="FFFFC000"/>
      </font>
    </dxf>
    <dxf>
      <font>
        <b/>
        <color rgb="FF0070C0"/>
      </font>
    </dxf>
    <dxf>
      <font>
        <color rgb="FFFF0000"/>
      </font>
    </dxf>
    <dxf>
      <font>
        <color rgb="FF00B05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theme="9" tint="-0.24994659260841701"/>
      </font>
      <fill>
        <patternFill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rgb="FFFFC000"/>
      </font>
    </dxf>
    <dxf>
      <font>
        <b/>
        <color rgb="FF00B0F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rgb="FFFFC000"/>
      </font>
    </dxf>
    <dxf>
      <font>
        <b/>
        <color rgb="FF00B0F0"/>
      </font>
    </dxf>
    <dxf>
      <font>
        <b/>
        <i/>
        <color rgb="FFFFC000"/>
      </font>
    </dxf>
    <dxf>
      <font>
        <b/>
        <i/>
        <color rgb="FF0070C0"/>
      </font>
    </dxf>
    <dxf>
      <font>
        <b/>
        <i/>
        <color rgb="FFFFC000"/>
      </font>
    </dxf>
    <dxf>
      <font>
        <b/>
        <i/>
        <color rgb="FF0070C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/>
        <color rgb="FFFFC000"/>
      </font>
    </dxf>
    <dxf>
      <font>
        <b/>
        <i/>
        <color rgb="FF0070C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rgb="FFFFC000"/>
      </font>
    </dxf>
    <dxf>
      <font>
        <b/>
        <color rgb="FF00B0F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rgb="FFFFC000"/>
      </font>
    </dxf>
    <dxf>
      <font>
        <b/>
        <color rgb="FF00B0F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rgb="FFFFC000"/>
      </font>
    </dxf>
    <dxf>
      <font>
        <b/>
        <color rgb="FF00B0F0"/>
      </font>
    </dxf>
    <dxf>
      <font>
        <b/>
        <i/>
        <color rgb="FFFFC000"/>
      </font>
    </dxf>
    <dxf>
      <font>
        <b/>
        <i/>
        <color rgb="FF0070C0"/>
      </font>
    </dxf>
    <dxf>
      <font>
        <b/>
        <i/>
        <color rgb="FFFFC000"/>
      </font>
    </dxf>
    <dxf>
      <font>
        <b/>
        <i/>
        <color rgb="FF0070C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/>
        <color rgb="FFFFC000"/>
      </font>
    </dxf>
    <dxf>
      <font>
        <b/>
        <i/>
        <color rgb="FF0070C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rgb="FFFFC000"/>
      </font>
    </dxf>
    <dxf>
      <font>
        <b/>
        <color rgb="FF00B0F0"/>
      </font>
    </dxf>
    <dxf>
      <font>
        <b/>
        <color rgb="FFFF0000"/>
      </font>
    </dxf>
    <dxf>
      <font>
        <b/>
        <color rgb="FF00B050"/>
      </font>
    </dxf>
    <dxf>
      <font>
        <b/>
        <color rgb="FFFFFF00"/>
      </font>
      <fill>
        <patternFill>
          <bgColor rgb="FFFF0000"/>
        </patternFill>
      </fill>
    </dxf>
    <dxf>
      <font>
        <b/>
        <color theme="0"/>
      </font>
      <fill>
        <patternFill>
          <bgColor rgb="FF00B050"/>
        </patternFill>
      </fill>
    </dxf>
    <dxf>
      <font>
        <b/>
        <color rgb="FFFFFF00"/>
      </font>
      <fill>
        <patternFill>
          <bgColor rgb="FFFF0000"/>
        </patternFill>
      </fill>
    </dxf>
    <dxf>
      <font>
        <b/>
        <color theme="0"/>
      </font>
      <fill>
        <patternFill>
          <bgColor rgb="FF00B050"/>
        </patternFill>
      </fill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color rgb="FFFFFF00"/>
      </font>
      <fill>
        <patternFill>
          <bgColor rgb="FFFF0000"/>
        </patternFill>
      </fill>
    </dxf>
    <dxf>
      <font>
        <b/>
        <color theme="0"/>
      </font>
      <fill>
        <patternFill>
          <bgColor rgb="FF00B050"/>
        </patternFill>
      </fill>
    </dxf>
    <dxf>
      <font>
        <b/>
        <color rgb="FFFFFF00"/>
      </font>
      <fill>
        <patternFill>
          <bgColor rgb="FFFF0000"/>
        </patternFill>
      </fill>
    </dxf>
    <dxf>
      <font>
        <b/>
        <color theme="0"/>
      </font>
      <fill>
        <patternFill>
          <bgColor rgb="FF00B050"/>
        </patternFill>
      </fill>
    </dxf>
    <dxf>
      <font>
        <b/>
        <color rgb="FFFF0000"/>
      </font>
    </dxf>
    <dxf>
      <font>
        <b/>
        <color rgb="FF00B050"/>
      </font>
    </dxf>
    <dxf>
      <font>
        <b/>
        <color rgb="FFFF0000"/>
      </font>
    </dxf>
    <dxf>
      <font>
        <b/>
        <color rgb="FF00B050"/>
      </font>
    </dxf>
    <dxf>
      <font>
        <b/>
        <color rgb="FFFF0000"/>
      </font>
    </dxf>
    <dxf>
      <font>
        <b/>
        <color rgb="FF00B050"/>
      </font>
    </dxf>
    <dxf>
      <font>
        <color theme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rgb="FFFFC000"/>
      </font>
    </dxf>
    <dxf>
      <font>
        <b/>
        <color rgb="FFFFC000"/>
      </font>
    </dxf>
    <dxf>
      <font>
        <b/>
        <color rgb="FFFFC000"/>
      </font>
    </dxf>
    <dxf>
      <font>
        <b/>
        <color rgb="FFFFC000"/>
      </font>
    </dxf>
    <dxf>
      <font>
        <b/>
        <color rgb="FFFFC000"/>
      </font>
    </dxf>
    <dxf>
      <font>
        <b/>
        <color rgb="FFFFC000"/>
      </font>
    </dxf>
    <dxf>
      <font>
        <b/>
        <color rgb="FFFFC000"/>
      </font>
    </dxf>
    <dxf>
      <font>
        <color theme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rgb="FFFF0000"/>
      </font>
    </dxf>
    <dxf>
      <font>
        <b/>
        <color rgb="FF00B050"/>
      </font>
    </dxf>
    <dxf>
      <font>
        <b/>
        <color rgb="FFFF0000"/>
      </font>
    </dxf>
    <dxf>
      <font>
        <b/>
        <color rgb="FF00B050"/>
      </font>
    </dxf>
    <dxf>
      <font>
        <b/>
        <color rgb="FFFF0000"/>
      </font>
    </dxf>
    <dxf>
      <font>
        <b/>
        <color rgb="FF00B050"/>
      </font>
    </dxf>
    <dxf>
      <font>
        <color theme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rgb="FFFFC000"/>
      </font>
    </dxf>
    <dxf>
      <font>
        <b/>
        <color rgb="FFFFC000"/>
      </font>
    </dxf>
    <dxf>
      <font>
        <b/>
        <color rgb="FFFFC000"/>
      </font>
    </dxf>
    <dxf>
      <font>
        <b/>
        <color rgb="FFFFC000"/>
      </font>
    </dxf>
    <dxf>
      <font>
        <b/>
        <color rgb="FFFFC000"/>
      </font>
    </dxf>
    <dxf>
      <font>
        <b/>
        <color rgb="FFFFC000"/>
      </font>
    </dxf>
    <dxf>
      <font>
        <b/>
        <color rgb="FFFFC000"/>
      </font>
    </dxf>
    <dxf>
      <font>
        <color theme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rgb="FFFFFF00"/>
      </font>
    </dxf>
    <dxf>
      <font>
        <color rgb="FFFF0000"/>
      </font>
    </dxf>
    <dxf>
      <font>
        <color rgb="FF00B050"/>
      </font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00B050"/>
      </font>
      <fill>
        <patternFill>
          <bgColor theme="0"/>
        </patternFill>
      </fill>
    </dxf>
    <dxf>
      <font>
        <color rgb="FFFF0000"/>
      </font>
      <fill>
        <patternFill>
          <bgColor theme="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rgb="FFFF0000"/>
      </font>
    </dxf>
    <dxf>
      <font>
        <color rgb="FF00B05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rgb="FFFFC000"/>
      </font>
    </dxf>
    <dxf>
      <font>
        <b/>
        <color rgb="FF0070C0"/>
      </font>
    </dxf>
    <dxf>
      <font>
        <b/>
        <color rgb="FFFFC000"/>
      </font>
    </dxf>
    <dxf>
      <font>
        <b/>
        <color rgb="FF0070C0"/>
      </font>
    </dxf>
    <dxf>
      <font>
        <color rgb="FFFF0000"/>
      </font>
    </dxf>
    <dxf>
      <font>
        <color rgb="FF00B050"/>
      </font>
    </dxf>
    <dxf>
      <font>
        <b/>
        <color rgb="FFFFC000"/>
      </font>
    </dxf>
    <dxf>
      <font>
        <b/>
        <color rgb="FF0070C0"/>
      </font>
    </dxf>
    <dxf>
      <font>
        <b/>
        <color rgb="FFFFC000"/>
      </font>
    </dxf>
    <dxf>
      <font>
        <b/>
        <color rgb="FF0070C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rgb="FFFFC000"/>
      </font>
    </dxf>
    <dxf>
      <font>
        <b/>
        <color rgb="FF0070C0"/>
      </font>
    </dxf>
    <dxf>
      <font>
        <b/>
        <color rgb="FFFFC000"/>
      </font>
    </dxf>
    <dxf>
      <font>
        <b/>
        <color rgb="FF0070C0"/>
      </font>
    </dxf>
    <dxf>
      <font>
        <color rgb="FFFF0000"/>
      </font>
    </dxf>
    <dxf>
      <font>
        <color rgb="FF00B05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theme="9" tint="-0.24994659260841701"/>
      </font>
      <fill>
        <patternFill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rgb="FFFFC000"/>
      </font>
    </dxf>
    <dxf>
      <font>
        <b/>
        <color rgb="FF00B0F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rgb="FFFFC000"/>
      </font>
    </dxf>
    <dxf>
      <font>
        <b/>
        <color rgb="FF00B0F0"/>
      </font>
    </dxf>
    <dxf>
      <font>
        <b/>
        <i/>
        <color rgb="FFFFC000"/>
      </font>
    </dxf>
    <dxf>
      <font>
        <b/>
        <i/>
        <color rgb="FF0070C0"/>
      </font>
    </dxf>
    <dxf>
      <font>
        <b/>
        <i/>
        <color rgb="FFFFC000"/>
      </font>
    </dxf>
    <dxf>
      <font>
        <b/>
        <i/>
        <color rgb="FF0070C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/>
        <color rgb="FFFFC000"/>
      </font>
    </dxf>
    <dxf>
      <font>
        <b/>
        <i/>
        <color rgb="FF0070C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rgb="FFFFC000"/>
      </font>
    </dxf>
    <dxf>
      <font>
        <b/>
        <color rgb="FF00B0F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rgb="FFFFC000"/>
      </font>
    </dxf>
    <dxf>
      <font>
        <b/>
        <color rgb="FF00B0F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rgb="FFFFC000"/>
      </font>
    </dxf>
    <dxf>
      <font>
        <b/>
        <color rgb="FF00B0F0"/>
      </font>
    </dxf>
    <dxf>
      <font>
        <b/>
        <i/>
        <color rgb="FFFFC000"/>
      </font>
    </dxf>
    <dxf>
      <font>
        <b/>
        <i/>
        <color rgb="FF0070C0"/>
      </font>
    </dxf>
    <dxf>
      <font>
        <b/>
        <i/>
        <color rgb="FFFFC000"/>
      </font>
    </dxf>
    <dxf>
      <font>
        <b/>
        <i/>
        <color rgb="FF0070C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/>
        <color rgb="FFFFC000"/>
      </font>
    </dxf>
    <dxf>
      <font>
        <b/>
        <i/>
        <color rgb="FF0070C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rgb="FFFFC000"/>
      </font>
    </dxf>
    <dxf>
      <font>
        <b/>
        <color rgb="FF00B0F0"/>
      </font>
    </dxf>
    <dxf>
      <font>
        <b/>
        <color rgb="FFFF0000"/>
      </font>
    </dxf>
    <dxf>
      <font>
        <b/>
        <color rgb="FF00B050"/>
      </font>
    </dxf>
    <dxf>
      <font>
        <b/>
        <color rgb="FFFFFF00"/>
      </font>
      <fill>
        <patternFill>
          <bgColor rgb="FFFF0000"/>
        </patternFill>
      </fill>
    </dxf>
    <dxf>
      <font>
        <b/>
        <color theme="0"/>
      </font>
      <fill>
        <patternFill>
          <bgColor rgb="FF00B050"/>
        </patternFill>
      </fill>
    </dxf>
    <dxf>
      <font>
        <b/>
        <color rgb="FFFFFF00"/>
      </font>
      <fill>
        <patternFill>
          <bgColor rgb="FFFF0000"/>
        </patternFill>
      </fill>
    </dxf>
    <dxf>
      <font>
        <b/>
        <color theme="0"/>
      </font>
      <fill>
        <patternFill>
          <bgColor rgb="FF00B050"/>
        </patternFill>
      </fill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color rgb="FFFFFF00"/>
      </font>
      <fill>
        <patternFill>
          <bgColor rgb="FFFF0000"/>
        </patternFill>
      </fill>
    </dxf>
    <dxf>
      <font>
        <b/>
        <color theme="0"/>
      </font>
      <fill>
        <patternFill>
          <bgColor rgb="FF00B050"/>
        </patternFill>
      </fill>
    </dxf>
    <dxf>
      <font>
        <b/>
        <color rgb="FFFFFF00"/>
      </font>
      <fill>
        <patternFill>
          <bgColor rgb="FFFF0000"/>
        </patternFill>
      </fill>
    </dxf>
    <dxf>
      <font>
        <b/>
        <color theme="0"/>
      </font>
      <fill>
        <patternFill>
          <bgColor rgb="FF00B050"/>
        </patternFill>
      </fill>
    </dxf>
    <dxf>
      <font>
        <b/>
        <color rgb="FFFF0000"/>
      </font>
    </dxf>
    <dxf>
      <font>
        <b/>
        <color rgb="FF00B050"/>
      </font>
    </dxf>
    <dxf>
      <font>
        <b/>
        <color rgb="FFFF0000"/>
      </font>
    </dxf>
    <dxf>
      <font>
        <b/>
        <color rgb="FF00B050"/>
      </font>
    </dxf>
    <dxf>
      <font>
        <b/>
        <color rgb="FFFF0000"/>
      </font>
    </dxf>
    <dxf>
      <font>
        <b/>
        <color rgb="FF00B050"/>
      </font>
    </dxf>
    <dxf>
      <font>
        <color theme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rgb="FFFFC000"/>
      </font>
    </dxf>
    <dxf>
      <font>
        <b/>
        <color rgb="FFFFC000"/>
      </font>
    </dxf>
    <dxf>
      <font>
        <b/>
        <color rgb="FFFFC000"/>
      </font>
    </dxf>
    <dxf>
      <font>
        <b/>
        <color rgb="FFFFC000"/>
      </font>
    </dxf>
    <dxf>
      <font>
        <b/>
        <color rgb="FFFFC000"/>
      </font>
    </dxf>
    <dxf>
      <font>
        <b/>
        <color rgb="FFFFC000"/>
      </font>
    </dxf>
    <dxf>
      <font>
        <b/>
        <color rgb="FFFFC000"/>
      </font>
    </dxf>
    <dxf>
      <font>
        <color theme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rgb="FFFF0000"/>
      </font>
    </dxf>
    <dxf>
      <font>
        <b/>
        <color rgb="FF00B050"/>
      </font>
    </dxf>
    <dxf>
      <font>
        <b/>
        <color rgb="FFFF0000"/>
      </font>
    </dxf>
    <dxf>
      <font>
        <b/>
        <color rgb="FF00B050"/>
      </font>
    </dxf>
    <dxf>
      <font>
        <b/>
        <color rgb="FFFF0000"/>
      </font>
    </dxf>
    <dxf>
      <font>
        <b/>
        <color rgb="FF00B050"/>
      </font>
    </dxf>
    <dxf>
      <font>
        <color theme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rgb="FFFFC000"/>
      </font>
    </dxf>
    <dxf>
      <font>
        <b/>
        <color rgb="FFFFC000"/>
      </font>
    </dxf>
    <dxf>
      <font>
        <b/>
        <color rgb="FFFFC000"/>
      </font>
    </dxf>
    <dxf>
      <font>
        <b/>
        <color rgb="FFFFC000"/>
      </font>
    </dxf>
    <dxf>
      <font>
        <b/>
        <color rgb="FFFFC000"/>
      </font>
    </dxf>
    <dxf>
      <font>
        <b/>
        <color rgb="FFFFC000"/>
      </font>
    </dxf>
    <dxf>
      <font>
        <b/>
        <color rgb="FFFFC000"/>
      </font>
    </dxf>
    <dxf>
      <font>
        <color theme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rgb="FFFFFF00"/>
      </font>
    </dxf>
    <dxf>
      <font>
        <color rgb="FFFF0000"/>
      </font>
    </dxf>
    <dxf>
      <font>
        <color rgb="FF00B050"/>
      </font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00B050"/>
      </font>
      <fill>
        <patternFill>
          <bgColor theme="0"/>
        </patternFill>
      </fill>
    </dxf>
    <dxf>
      <font>
        <color rgb="FFFF0000"/>
      </font>
      <fill>
        <patternFill>
          <bgColor theme="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rgb="FFFF0000"/>
      </font>
    </dxf>
    <dxf>
      <font>
        <color rgb="FF00B05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rgb="FFFFC000"/>
      </font>
    </dxf>
    <dxf>
      <font>
        <b/>
        <color rgb="FF0070C0"/>
      </font>
    </dxf>
    <dxf>
      <font>
        <b/>
        <color rgb="FFFFC000"/>
      </font>
    </dxf>
    <dxf>
      <font>
        <b/>
        <color rgb="FF0070C0"/>
      </font>
    </dxf>
    <dxf>
      <font>
        <color rgb="FFFF0000"/>
      </font>
    </dxf>
    <dxf>
      <font>
        <color rgb="FF00B050"/>
      </font>
    </dxf>
    <dxf>
      <font>
        <b/>
        <color rgb="FFFFC000"/>
      </font>
    </dxf>
    <dxf>
      <font>
        <b/>
        <color rgb="FF0070C0"/>
      </font>
    </dxf>
    <dxf>
      <font>
        <b/>
        <color rgb="FFFFC000"/>
      </font>
    </dxf>
    <dxf>
      <font>
        <b/>
        <color rgb="FF0070C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rgb="FFFFC000"/>
      </font>
    </dxf>
    <dxf>
      <font>
        <b/>
        <color rgb="FF0070C0"/>
      </font>
    </dxf>
    <dxf>
      <font>
        <b/>
        <color rgb="FFFFC000"/>
      </font>
    </dxf>
    <dxf>
      <font>
        <b/>
        <color rgb="FF0070C0"/>
      </font>
    </dxf>
    <dxf>
      <font>
        <color rgb="FFFF0000"/>
      </font>
    </dxf>
    <dxf>
      <font>
        <color rgb="FF00B05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theme="9" tint="-0.24994659260841701"/>
      </font>
      <fill>
        <patternFill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rgb="FFFFC000"/>
      </font>
    </dxf>
    <dxf>
      <font>
        <b/>
        <color rgb="FF00B0F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rgb="FFFFC000"/>
      </font>
    </dxf>
    <dxf>
      <font>
        <b/>
        <color rgb="FF00B0F0"/>
      </font>
    </dxf>
    <dxf>
      <font>
        <b/>
        <i/>
        <color rgb="FFFFC000"/>
      </font>
    </dxf>
    <dxf>
      <font>
        <b/>
        <i/>
        <color rgb="FF0070C0"/>
      </font>
    </dxf>
    <dxf>
      <font>
        <b/>
        <i/>
        <color rgb="FFFFC000"/>
      </font>
    </dxf>
    <dxf>
      <font>
        <b/>
        <i/>
        <color rgb="FF0070C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/>
        <color rgb="FFFFC000"/>
      </font>
    </dxf>
    <dxf>
      <font>
        <b/>
        <i/>
        <color rgb="FF0070C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rgb="FFFFC000"/>
      </font>
    </dxf>
    <dxf>
      <font>
        <b/>
        <color rgb="FF00B0F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rgb="FFFFC000"/>
      </font>
    </dxf>
    <dxf>
      <font>
        <b/>
        <color rgb="FF00B0F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rgb="FFFFC000"/>
      </font>
    </dxf>
    <dxf>
      <font>
        <b/>
        <color rgb="FF00B0F0"/>
      </font>
    </dxf>
    <dxf>
      <font>
        <b/>
        <i/>
        <color rgb="FFFFC000"/>
      </font>
    </dxf>
    <dxf>
      <font>
        <b/>
        <i/>
        <color rgb="FF0070C0"/>
      </font>
    </dxf>
    <dxf>
      <font>
        <b/>
        <i/>
        <color rgb="FFFFC000"/>
      </font>
    </dxf>
    <dxf>
      <font>
        <b/>
        <i/>
        <color rgb="FF0070C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/>
        <color rgb="FFFFC000"/>
      </font>
    </dxf>
    <dxf>
      <font>
        <b/>
        <i/>
        <color rgb="FF0070C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rgb="FFFFC000"/>
      </font>
    </dxf>
    <dxf>
      <font>
        <b/>
        <color rgb="FF00B0F0"/>
      </font>
    </dxf>
    <dxf>
      <font>
        <b/>
        <color rgb="FFFF0000"/>
      </font>
    </dxf>
    <dxf>
      <font>
        <b/>
        <color rgb="FF00B050"/>
      </font>
    </dxf>
    <dxf>
      <font>
        <b/>
        <color rgb="FFFFFF00"/>
      </font>
      <fill>
        <patternFill>
          <bgColor rgb="FFFF0000"/>
        </patternFill>
      </fill>
    </dxf>
    <dxf>
      <font>
        <b/>
        <color theme="0"/>
      </font>
      <fill>
        <patternFill>
          <bgColor rgb="FF00B050"/>
        </patternFill>
      </fill>
    </dxf>
    <dxf>
      <font>
        <b/>
        <color rgb="FFFFFF00"/>
      </font>
      <fill>
        <patternFill>
          <bgColor rgb="FFFF0000"/>
        </patternFill>
      </fill>
    </dxf>
    <dxf>
      <font>
        <b/>
        <color theme="0"/>
      </font>
      <fill>
        <patternFill>
          <bgColor rgb="FF00B050"/>
        </patternFill>
      </fill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color rgb="FFFFFF00"/>
      </font>
      <fill>
        <patternFill>
          <bgColor rgb="FFFF0000"/>
        </patternFill>
      </fill>
    </dxf>
    <dxf>
      <font>
        <b/>
        <color theme="0"/>
      </font>
      <fill>
        <patternFill>
          <bgColor rgb="FF00B050"/>
        </patternFill>
      </fill>
    </dxf>
    <dxf>
      <font>
        <b/>
        <color rgb="FFFFFF00"/>
      </font>
      <fill>
        <patternFill>
          <bgColor rgb="FFFF0000"/>
        </patternFill>
      </fill>
    </dxf>
    <dxf>
      <font>
        <b/>
        <color theme="0"/>
      </font>
      <fill>
        <patternFill>
          <bgColor rgb="FF00B050"/>
        </patternFill>
      </fill>
    </dxf>
    <dxf>
      <font>
        <b/>
        <color rgb="FFFF0000"/>
      </font>
    </dxf>
    <dxf>
      <font>
        <b/>
        <color rgb="FF00B050"/>
      </font>
    </dxf>
    <dxf>
      <font>
        <b/>
        <color rgb="FFFF0000"/>
      </font>
    </dxf>
    <dxf>
      <font>
        <b/>
        <color rgb="FF00B050"/>
      </font>
    </dxf>
    <dxf>
      <font>
        <b/>
        <color rgb="FFFF0000"/>
      </font>
    </dxf>
    <dxf>
      <font>
        <b/>
        <color rgb="FF00B050"/>
      </font>
    </dxf>
    <dxf>
      <font>
        <color theme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rgb="FFFFC000"/>
      </font>
    </dxf>
    <dxf>
      <font>
        <b/>
        <color rgb="FFFFC000"/>
      </font>
    </dxf>
    <dxf>
      <font>
        <b/>
        <color rgb="FFFFC000"/>
      </font>
    </dxf>
    <dxf>
      <font>
        <b/>
        <color rgb="FFFFC000"/>
      </font>
    </dxf>
    <dxf>
      <font>
        <b/>
        <color rgb="FFFFC000"/>
      </font>
    </dxf>
    <dxf>
      <font>
        <b/>
        <color rgb="FFFFC000"/>
      </font>
    </dxf>
    <dxf>
      <font>
        <b/>
        <color rgb="FFFFC000"/>
      </font>
    </dxf>
    <dxf>
      <font>
        <color theme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rgb="FFFF0000"/>
      </font>
    </dxf>
    <dxf>
      <font>
        <b/>
        <color rgb="FF00B050"/>
      </font>
    </dxf>
    <dxf>
      <font>
        <b/>
        <color rgb="FFFF0000"/>
      </font>
    </dxf>
    <dxf>
      <font>
        <b/>
        <color rgb="FF00B050"/>
      </font>
    </dxf>
    <dxf>
      <font>
        <b/>
        <color rgb="FFFF0000"/>
      </font>
    </dxf>
    <dxf>
      <font>
        <b/>
        <color rgb="FF00B050"/>
      </font>
    </dxf>
    <dxf>
      <font>
        <color theme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rgb="FFFFC000"/>
      </font>
    </dxf>
    <dxf>
      <font>
        <b/>
        <color rgb="FFFFC000"/>
      </font>
    </dxf>
    <dxf>
      <font>
        <b/>
        <color rgb="FFFFC000"/>
      </font>
    </dxf>
    <dxf>
      <font>
        <b/>
        <color rgb="FFFFC000"/>
      </font>
    </dxf>
    <dxf>
      <font>
        <b/>
        <color rgb="FFFFC000"/>
      </font>
    </dxf>
    <dxf>
      <font>
        <b/>
        <color rgb="FFFFC000"/>
      </font>
    </dxf>
    <dxf>
      <font>
        <b/>
        <color rgb="FFFFC000"/>
      </font>
    </dxf>
    <dxf>
      <font>
        <color theme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rgb="FFFFFF00"/>
      </font>
    </dxf>
    <dxf>
      <font>
        <color rgb="FFFF0000"/>
      </font>
    </dxf>
    <dxf>
      <font>
        <color rgb="FF00B050"/>
      </font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00B050"/>
      </font>
      <fill>
        <patternFill>
          <bgColor theme="0"/>
        </patternFill>
      </fill>
    </dxf>
    <dxf>
      <font>
        <color rgb="FFFF0000"/>
      </font>
      <fill>
        <patternFill>
          <bgColor theme="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rgb="FFFF0000"/>
      </font>
    </dxf>
    <dxf>
      <font>
        <color rgb="FF00B05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rgb="FFFFC000"/>
      </font>
    </dxf>
    <dxf>
      <font>
        <b/>
        <color rgb="FF0070C0"/>
      </font>
    </dxf>
    <dxf>
      <font>
        <b/>
        <color rgb="FFFFC000"/>
      </font>
    </dxf>
    <dxf>
      <font>
        <b/>
        <color rgb="FF0070C0"/>
      </font>
    </dxf>
    <dxf>
      <font>
        <color rgb="FFFF0000"/>
      </font>
    </dxf>
    <dxf>
      <font>
        <color rgb="FF00B050"/>
      </font>
    </dxf>
    <dxf>
      <font>
        <b/>
        <color rgb="FFFFC000"/>
      </font>
    </dxf>
    <dxf>
      <font>
        <b/>
        <color rgb="FF0070C0"/>
      </font>
    </dxf>
    <dxf>
      <font>
        <b/>
        <color rgb="FFFFC000"/>
      </font>
    </dxf>
    <dxf>
      <font>
        <b/>
        <color rgb="FF0070C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rgb="FFFFC000"/>
      </font>
    </dxf>
    <dxf>
      <font>
        <b/>
        <color rgb="FF0070C0"/>
      </font>
    </dxf>
    <dxf>
      <font>
        <b/>
        <color rgb="FFFFC000"/>
      </font>
    </dxf>
    <dxf>
      <font>
        <b/>
        <color rgb="FF0070C0"/>
      </font>
    </dxf>
    <dxf>
      <font>
        <color rgb="FFFF0000"/>
      </font>
    </dxf>
    <dxf>
      <font>
        <color rgb="FF00B05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theme="9" tint="-0.24994659260841701"/>
      </font>
      <fill>
        <patternFill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rgb="FFFFC000"/>
      </font>
    </dxf>
    <dxf>
      <font>
        <b/>
        <color rgb="FF00B0F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rgb="FFFFC000"/>
      </font>
    </dxf>
    <dxf>
      <font>
        <b/>
        <color rgb="FF00B0F0"/>
      </font>
    </dxf>
    <dxf>
      <font>
        <b/>
        <i/>
        <color rgb="FFFFC000"/>
      </font>
    </dxf>
    <dxf>
      <font>
        <b/>
        <i/>
        <color rgb="FF0070C0"/>
      </font>
    </dxf>
    <dxf>
      <font>
        <b/>
        <i/>
        <color rgb="FFFFC000"/>
      </font>
    </dxf>
    <dxf>
      <font>
        <b/>
        <i/>
        <color rgb="FF0070C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/>
        <color rgb="FFFFC000"/>
      </font>
    </dxf>
    <dxf>
      <font>
        <b/>
        <i/>
        <color rgb="FF0070C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rgb="FFFFC000"/>
      </font>
    </dxf>
    <dxf>
      <font>
        <b/>
        <color rgb="FF00B0F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rgb="FFFFC000"/>
      </font>
    </dxf>
    <dxf>
      <font>
        <b/>
        <color rgb="FF00B0F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rgb="FFFFC000"/>
      </font>
    </dxf>
    <dxf>
      <font>
        <b/>
        <color rgb="FF00B0F0"/>
      </font>
    </dxf>
    <dxf>
      <font>
        <b/>
        <i/>
        <color rgb="FFFFC000"/>
      </font>
    </dxf>
    <dxf>
      <font>
        <b/>
        <i/>
        <color rgb="FF0070C0"/>
      </font>
    </dxf>
    <dxf>
      <font>
        <b/>
        <i/>
        <color rgb="FFFFC000"/>
      </font>
    </dxf>
    <dxf>
      <font>
        <b/>
        <i/>
        <color rgb="FF0070C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/>
        <color rgb="FFFFC000"/>
      </font>
    </dxf>
    <dxf>
      <font>
        <b/>
        <i/>
        <color rgb="FF0070C0"/>
      </font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rgb="FFFFC000"/>
      </font>
    </dxf>
    <dxf>
      <font>
        <b/>
        <color rgb="FF00B0F0"/>
      </font>
    </dxf>
    <dxf>
      <font>
        <b/>
        <color rgb="FFFF0000"/>
      </font>
    </dxf>
    <dxf>
      <font>
        <b/>
        <color rgb="FF00B050"/>
      </font>
    </dxf>
    <dxf>
      <font>
        <b/>
        <color rgb="FFFFFF00"/>
      </font>
      <fill>
        <patternFill>
          <bgColor rgb="FFFF0000"/>
        </patternFill>
      </fill>
    </dxf>
    <dxf>
      <font>
        <b/>
        <color theme="0"/>
      </font>
      <fill>
        <patternFill>
          <bgColor rgb="FF00B050"/>
        </patternFill>
      </fill>
    </dxf>
    <dxf>
      <font>
        <b/>
        <color rgb="FFFFFF00"/>
      </font>
      <fill>
        <patternFill>
          <bgColor rgb="FFFF0000"/>
        </patternFill>
      </fill>
    </dxf>
    <dxf>
      <font>
        <b/>
        <color theme="0"/>
      </font>
      <fill>
        <patternFill>
          <bgColor rgb="FF00B050"/>
        </patternFill>
      </fill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color rgb="FFFFFF00"/>
      </font>
      <fill>
        <patternFill>
          <bgColor rgb="FFFF0000"/>
        </patternFill>
      </fill>
    </dxf>
    <dxf>
      <font>
        <b/>
        <color theme="0"/>
      </font>
      <fill>
        <patternFill>
          <bgColor rgb="FF00B050"/>
        </patternFill>
      </fill>
    </dxf>
    <dxf>
      <font>
        <b/>
        <color rgb="FFFFFF00"/>
      </font>
      <fill>
        <patternFill>
          <bgColor rgb="FFFF0000"/>
        </patternFill>
      </fill>
    </dxf>
    <dxf>
      <font>
        <b/>
        <color theme="0"/>
      </font>
      <fill>
        <patternFill>
          <bgColor rgb="FF00B050"/>
        </patternFill>
      </fill>
    </dxf>
    <dxf>
      <font>
        <b/>
        <color rgb="FFFF0000"/>
      </font>
    </dxf>
    <dxf>
      <font>
        <b/>
        <color rgb="FF00B050"/>
      </font>
    </dxf>
    <dxf>
      <font>
        <b/>
        <color rgb="FFFF0000"/>
      </font>
    </dxf>
    <dxf>
      <font>
        <b/>
        <color rgb="FF00B050"/>
      </font>
    </dxf>
    <dxf>
      <font>
        <b/>
        <color rgb="FFFF0000"/>
      </font>
    </dxf>
    <dxf>
      <font>
        <b/>
        <color rgb="FF00B050"/>
      </font>
    </dxf>
    <dxf>
      <font>
        <color theme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rgb="FFFFC000"/>
      </font>
    </dxf>
    <dxf>
      <font>
        <b/>
        <color rgb="FFFFC000"/>
      </font>
    </dxf>
    <dxf>
      <font>
        <b/>
        <color rgb="FFFFC000"/>
      </font>
    </dxf>
    <dxf>
      <font>
        <b/>
        <color rgb="FFFFC000"/>
      </font>
    </dxf>
    <dxf>
      <font>
        <b/>
        <color rgb="FFFFC000"/>
      </font>
    </dxf>
    <dxf>
      <font>
        <b/>
        <color rgb="FFFFC000"/>
      </font>
    </dxf>
    <dxf>
      <font>
        <b/>
        <color rgb="FFFFC000"/>
      </font>
    </dxf>
    <dxf>
      <font>
        <color theme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rgb="FFFF0000"/>
      </font>
    </dxf>
    <dxf>
      <font>
        <b/>
        <color rgb="FF00B050"/>
      </font>
    </dxf>
    <dxf>
      <font>
        <b/>
        <color rgb="FFFF0000"/>
      </font>
    </dxf>
    <dxf>
      <font>
        <b/>
        <color rgb="FF00B050"/>
      </font>
    </dxf>
    <dxf>
      <font>
        <b/>
        <color rgb="FFFF0000"/>
      </font>
    </dxf>
    <dxf>
      <font>
        <b/>
        <color rgb="FF00B050"/>
      </font>
    </dxf>
    <dxf>
      <font>
        <color theme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color rgb="FFFFC000"/>
      </font>
    </dxf>
    <dxf>
      <font>
        <b/>
        <color rgb="FFFFC000"/>
      </font>
    </dxf>
    <dxf>
      <font>
        <b/>
        <color rgb="FFFFC000"/>
      </font>
    </dxf>
    <dxf>
      <font>
        <b/>
        <color rgb="FFFFC000"/>
      </font>
    </dxf>
    <dxf>
      <font>
        <b/>
        <color rgb="FFFFC000"/>
      </font>
    </dxf>
    <dxf>
      <font>
        <b/>
        <color rgb="FFFFC000"/>
      </font>
    </dxf>
    <dxf>
      <font>
        <b/>
        <color rgb="FFFFC000"/>
      </font>
    </dxf>
    <dxf>
      <font>
        <color theme="1"/>
      </font>
      <fill>
        <patternFill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D24F67-1756-4251-928C-94A91DB7955F}">
  <dimension ref="A1:AH51"/>
  <sheetViews>
    <sheetView tabSelected="1" workbookViewId="0"/>
  </sheetViews>
  <sheetFormatPr defaultRowHeight="14.25" x14ac:dyDescent="0.2"/>
  <sheetData>
    <row r="1" spans="1:34" ht="15" thickBot="1" x14ac:dyDescent="0.25">
      <c r="A1" s="1" t="s">
        <v>0</v>
      </c>
      <c r="B1" s="125" t="s">
        <v>1</v>
      </c>
      <c r="C1" s="126"/>
      <c r="D1" s="126"/>
      <c r="E1" s="2" t="s">
        <v>2</v>
      </c>
      <c r="F1" s="127" t="s">
        <v>3</v>
      </c>
      <c r="G1" s="126"/>
      <c r="H1" s="126"/>
      <c r="I1" s="3" t="s">
        <v>2</v>
      </c>
      <c r="J1" s="114" t="s">
        <v>4</v>
      </c>
      <c r="K1" s="115"/>
      <c r="L1" s="116"/>
      <c r="M1" s="2" t="s">
        <v>2</v>
      </c>
      <c r="N1" s="114" t="s">
        <v>5</v>
      </c>
      <c r="O1" s="115"/>
      <c r="P1" s="116"/>
      <c r="Q1" s="114" t="s">
        <v>6</v>
      </c>
      <c r="R1" s="115"/>
      <c r="S1" s="116"/>
      <c r="T1" s="123" t="s">
        <v>2</v>
      </c>
      <c r="U1" s="115"/>
      <c r="V1" s="116"/>
      <c r="W1" s="124" t="s">
        <v>7</v>
      </c>
      <c r="X1" s="115"/>
      <c r="Y1" s="115"/>
      <c r="Z1" s="2" t="s">
        <v>8</v>
      </c>
      <c r="AA1" s="129" t="s">
        <v>9</v>
      </c>
      <c r="AB1" s="126"/>
      <c r="AC1" s="126"/>
      <c r="AD1" s="126"/>
      <c r="AE1" s="4" t="s">
        <v>2</v>
      </c>
      <c r="AF1" s="5" t="s">
        <v>10</v>
      </c>
      <c r="AG1" s="6" t="s">
        <v>11</v>
      </c>
      <c r="AH1" s="7" t="s">
        <v>12</v>
      </c>
    </row>
    <row r="2" spans="1:34" ht="15.75" x14ac:dyDescent="0.2">
      <c r="A2" s="8" t="s">
        <v>13</v>
      </c>
      <c r="B2" s="9"/>
      <c r="C2" s="10"/>
      <c r="D2" s="11"/>
      <c r="E2" s="12"/>
      <c r="F2" s="13"/>
      <c r="G2" s="10"/>
      <c r="H2" s="11"/>
      <c r="I2" s="14">
        <f>B10-B11</f>
        <v>0</v>
      </c>
      <c r="J2" s="15"/>
      <c r="K2" s="16"/>
      <c r="L2" s="17"/>
      <c r="M2" s="14">
        <f>(MIN(J2,L2)-T5)</f>
        <v>0</v>
      </c>
      <c r="N2" s="18"/>
      <c r="O2" s="19"/>
      <c r="P2" s="20"/>
      <c r="Q2" s="21"/>
      <c r="R2" s="22"/>
      <c r="S2" s="23"/>
      <c r="T2" s="24"/>
      <c r="U2" s="25"/>
      <c r="V2" s="26"/>
      <c r="W2" s="27"/>
      <c r="X2" s="28"/>
      <c r="Y2" s="27"/>
      <c r="Z2" s="29"/>
      <c r="AA2" s="30" t="s">
        <v>14</v>
      </c>
      <c r="AB2" s="9"/>
      <c r="AC2" s="10"/>
      <c r="AD2" s="31"/>
      <c r="AE2" s="32"/>
      <c r="AF2" s="117" t="s">
        <v>15</v>
      </c>
      <c r="AG2" s="33"/>
      <c r="AH2" s="26"/>
    </row>
    <row r="3" spans="1:34" x14ac:dyDescent="0.2">
      <c r="A3" s="34" t="s">
        <v>16</v>
      </c>
      <c r="B3" s="35"/>
      <c r="C3" s="36"/>
      <c r="D3" s="37"/>
      <c r="E3" s="38"/>
      <c r="F3" s="39"/>
      <c r="G3" s="36"/>
      <c r="H3" s="37"/>
      <c r="I3" s="40">
        <f>C10-C11</f>
        <v>0</v>
      </c>
      <c r="J3" s="41"/>
      <c r="K3" s="42"/>
      <c r="L3" s="43"/>
      <c r="M3" s="40">
        <f>(MIN(J3,L3)-T5)</f>
        <v>0</v>
      </c>
      <c r="N3" s="35"/>
      <c r="O3" s="36"/>
      <c r="P3" s="44"/>
      <c r="Q3" s="45"/>
      <c r="R3" s="46"/>
      <c r="S3" s="47"/>
      <c r="T3" s="48"/>
      <c r="U3" s="49"/>
      <c r="V3" s="50"/>
      <c r="W3" s="51"/>
      <c r="X3" s="52"/>
      <c r="Y3" s="51"/>
      <c r="Z3" s="53">
        <f t="shared" ref="Z3:Z12" si="0">(MIN(J3,L3)-MIN(B3,D3))</f>
        <v>0</v>
      </c>
      <c r="AA3" s="54" t="s">
        <v>17</v>
      </c>
      <c r="AB3" s="35"/>
      <c r="AC3" s="36"/>
      <c r="AD3" s="44"/>
      <c r="AE3" s="38"/>
      <c r="AF3" s="118"/>
      <c r="AG3" s="55"/>
      <c r="AH3" s="50"/>
    </row>
    <row r="4" spans="1:34" ht="16.5" thickBot="1" x14ac:dyDescent="0.25">
      <c r="A4" s="34" t="s">
        <v>18</v>
      </c>
      <c r="B4" s="35"/>
      <c r="C4" s="36"/>
      <c r="D4" s="37"/>
      <c r="E4" s="38"/>
      <c r="F4" s="39"/>
      <c r="G4" s="36"/>
      <c r="H4" s="37"/>
      <c r="I4" s="40">
        <f>D10-D11</f>
        <v>0</v>
      </c>
      <c r="J4" s="41"/>
      <c r="K4" s="42"/>
      <c r="L4" s="43"/>
      <c r="M4" s="40">
        <f>(MIN(J4,L4)-T5)</f>
        <v>0</v>
      </c>
      <c r="N4" s="35"/>
      <c r="O4" s="36"/>
      <c r="P4" s="44"/>
      <c r="Q4" s="45"/>
      <c r="R4" s="46"/>
      <c r="S4" s="47"/>
      <c r="T4" s="48"/>
      <c r="U4" s="56"/>
      <c r="V4" s="57"/>
      <c r="W4" s="58"/>
      <c r="X4" s="59"/>
      <c r="Y4" s="60"/>
      <c r="Z4" s="53">
        <f t="shared" si="0"/>
        <v>0</v>
      </c>
      <c r="AA4" s="61" t="s">
        <v>19</v>
      </c>
      <c r="AB4" s="62"/>
      <c r="AC4" s="63"/>
      <c r="AD4" s="64"/>
      <c r="AE4" s="65"/>
      <c r="AF4" s="128" t="s">
        <v>20</v>
      </c>
      <c r="AG4" s="66"/>
      <c r="AH4" s="57"/>
    </row>
    <row r="5" spans="1:34" ht="16.5" thickBot="1" x14ac:dyDescent="0.25">
      <c r="A5" s="34" t="s">
        <v>21</v>
      </c>
      <c r="B5" s="35"/>
      <c r="C5" s="36"/>
      <c r="D5" s="37"/>
      <c r="E5" s="67"/>
      <c r="F5" s="39"/>
      <c r="G5" s="36"/>
      <c r="H5" s="37"/>
      <c r="I5" s="40"/>
      <c r="J5" s="41"/>
      <c r="K5" s="42"/>
      <c r="L5" s="43"/>
      <c r="M5" s="40">
        <f>(MIN(J5,L5)-T5)</f>
        <v>0</v>
      </c>
      <c r="N5" s="35"/>
      <c r="O5" s="36"/>
      <c r="P5" s="44"/>
      <c r="Q5" s="45"/>
      <c r="R5" s="46"/>
      <c r="S5" s="47"/>
      <c r="T5" s="48"/>
      <c r="U5" s="56"/>
      <c r="V5" s="57"/>
      <c r="W5" s="68"/>
      <c r="X5" s="69"/>
      <c r="Y5" s="70"/>
      <c r="Z5" s="53">
        <f t="shared" si="0"/>
        <v>0</v>
      </c>
      <c r="AA5" s="30" t="s">
        <v>14</v>
      </c>
      <c r="AB5" s="71"/>
      <c r="AC5" s="72"/>
      <c r="AD5" s="31"/>
      <c r="AE5" s="38"/>
      <c r="AF5" s="118"/>
      <c r="AG5" s="66"/>
      <c r="AH5" s="57"/>
    </row>
    <row r="6" spans="1:34" ht="15.75" x14ac:dyDescent="0.2">
      <c r="A6" s="34" t="s">
        <v>22</v>
      </c>
      <c r="B6" s="35"/>
      <c r="C6" s="36"/>
      <c r="D6" s="37"/>
      <c r="E6" s="38"/>
      <c r="F6" s="39"/>
      <c r="G6" s="36"/>
      <c r="H6" s="37"/>
      <c r="I6" s="40">
        <f>F10-F11</f>
        <v>0</v>
      </c>
      <c r="J6" s="41"/>
      <c r="K6" s="42"/>
      <c r="L6" s="43"/>
      <c r="M6" s="40">
        <f>(MIN(J6,L6)-T5)</f>
        <v>0</v>
      </c>
      <c r="N6" s="35"/>
      <c r="O6" s="36"/>
      <c r="P6" s="44"/>
      <c r="Q6" s="45"/>
      <c r="R6" s="46"/>
      <c r="S6" s="47"/>
      <c r="T6" s="48"/>
      <c r="U6" s="73"/>
      <c r="V6" s="74"/>
      <c r="W6" s="75"/>
      <c r="X6" s="52"/>
      <c r="Y6" s="51"/>
      <c r="Z6" s="53">
        <f t="shared" si="0"/>
        <v>0</v>
      </c>
      <c r="AA6" s="54" t="s">
        <v>17</v>
      </c>
      <c r="AB6" s="35"/>
      <c r="AC6" s="36"/>
      <c r="AD6" s="44"/>
      <c r="AE6" s="65"/>
      <c r="AF6" s="117" t="s">
        <v>23</v>
      </c>
      <c r="AG6" s="76"/>
      <c r="AH6" s="74"/>
    </row>
    <row r="7" spans="1:34" ht="15" thickBot="1" x14ac:dyDescent="0.25">
      <c r="A7" s="34" t="s">
        <v>24</v>
      </c>
      <c r="B7" s="35"/>
      <c r="C7" s="36"/>
      <c r="D7" s="37"/>
      <c r="E7" s="38"/>
      <c r="F7" s="39"/>
      <c r="G7" s="36"/>
      <c r="H7" s="37"/>
      <c r="I7" s="40">
        <f>G10-G11</f>
        <v>0</v>
      </c>
      <c r="J7" s="41"/>
      <c r="K7" s="42"/>
      <c r="L7" s="43"/>
      <c r="M7" s="40">
        <f>(MIN(J7,L7)-T5)</f>
        <v>0</v>
      </c>
      <c r="N7" s="35"/>
      <c r="O7" s="36"/>
      <c r="P7" s="44"/>
      <c r="Q7" s="45"/>
      <c r="R7" s="46"/>
      <c r="S7" s="47"/>
      <c r="T7" s="48"/>
      <c r="U7" s="56"/>
      <c r="V7" s="57"/>
      <c r="W7" s="77"/>
      <c r="X7" s="59"/>
      <c r="Y7" s="58"/>
      <c r="Z7" s="53">
        <f t="shared" si="0"/>
        <v>0</v>
      </c>
      <c r="AA7" s="78" t="s">
        <v>19</v>
      </c>
      <c r="AB7" s="79"/>
      <c r="AC7" s="80"/>
      <c r="AD7" s="81"/>
      <c r="AE7" s="38"/>
      <c r="AF7" s="118"/>
      <c r="AG7" s="66"/>
      <c r="AH7" s="57"/>
    </row>
    <row r="8" spans="1:34" ht="15" thickBot="1" x14ac:dyDescent="0.25">
      <c r="A8" s="82" t="s">
        <v>25</v>
      </c>
      <c r="B8" s="35"/>
      <c r="C8" s="36"/>
      <c r="D8" s="37"/>
      <c r="E8" s="38"/>
      <c r="F8" s="39"/>
      <c r="G8" s="36"/>
      <c r="H8" s="37"/>
      <c r="I8" s="40">
        <f>H10-H11</f>
        <v>0</v>
      </c>
      <c r="J8" s="41"/>
      <c r="K8" s="42"/>
      <c r="L8" s="43"/>
      <c r="M8" s="83">
        <f>(MIN(J8,L8)-T5)</f>
        <v>0</v>
      </c>
      <c r="N8" s="35"/>
      <c r="O8" s="36"/>
      <c r="P8" s="44"/>
      <c r="Q8" s="45"/>
      <c r="R8" s="46"/>
      <c r="S8" s="47"/>
      <c r="T8" s="48"/>
      <c r="U8" s="56"/>
      <c r="V8" s="57"/>
      <c r="W8" s="84"/>
      <c r="X8" s="85"/>
      <c r="Y8" s="86"/>
      <c r="Z8" s="53">
        <f t="shared" si="0"/>
        <v>0</v>
      </c>
      <c r="AA8" s="122" t="s">
        <v>26</v>
      </c>
      <c r="AB8" s="115"/>
      <c r="AC8" s="115"/>
      <c r="AD8" s="115"/>
      <c r="AE8" s="38"/>
      <c r="AF8" s="119" t="s">
        <v>27</v>
      </c>
      <c r="AG8" s="66"/>
      <c r="AH8" s="57"/>
    </row>
    <row r="9" spans="1:34" ht="15.75" x14ac:dyDescent="0.2">
      <c r="A9" s="34" t="s">
        <v>28</v>
      </c>
      <c r="B9" s="35"/>
      <c r="C9" s="36"/>
      <c r="D9" s="37"/>
      <c r="E9" s="67"/>
      <c r="F9" s="39"/>
      <c r="G9" s="36"/>
      <c r="H9" s="37"/>
      <c r="I9" s="40"/>
      <c r="J9" s="41"/>
      <c r="K9" s="42"/>
      <c r="L9" s="43"/>
      <c r="M9" s="83">
        <f>(MIN(J9,L9)-T5)</f>
        <v>0</v>
      </c>
      <c r="N9" s="35"/>
      <c r="O9" s="36"/>
      <c r="P9" s="44"/>
      <c r="Q9" s="45"/>
      <c r="R9" s="46"/>
      <c r="S9" s="47"/>
      <c r="T9" s="48"/>
      <c r="U9" s="56"/>
      <c r="V9" s="57"/>
      <c r="W9" s="43"/>
      <c r="X9" s="87"/>
      <c r="Y9" s="88"/>
      <c r="Z9" s="53">
        <f t="shared" si="0"/>
        <v>0</v>
      </c>
      <c r="AA9" s="30" t="s">
        <v>29</v>
      </c>
      <c r="AB9" s="89"/>
      <c r="AC9" s="72"/>
      <c r="AD9" s="31"/>
      <c r="AE9" s="38"/>
      <c r="AF9" s="120"/>
      <c r="AG9" s="66"/>
      <c r="AH9" s="57"/>
    </row>
    <row r="10" spans="1:34" ht="15" thickBot="1" x14ac:dyDescent="0.25">
      <c r="A10" s="82" t="s">
        <v>30</v>
      </c>
      <c r="B10" s="35"/>
      <c r="C10" s="36"/>
      <c r="D10" s="37"/>
      <c r="E10" s="67"/>
      <c r="F10" s="39"/>
      <c r="G10" s="36"/>
      <c r="H10" s="37"/>
      <c r="I10" s="40">
        <f>J10-J11</f>
        <v>0</v>
      </c>
      <c r="J10" s="41"/>
      <c r="K10" s="42"/>
      <c r="L10" s="43"/>
      <c r="M10" s="83">
        <f>(MIN(J10,L10)-T5)</f>
        <v>0</v>
      </c>
      <c r="N10" s="35"/>
      <c r="O10" s="36"/>
      <c r="P10" s="44"/>
      <c r="Q10" s="45"/>
      <c r="R10" s="46"/>
      <c r="S10" s="47"/>
      <c r="T10" s="48"/>
      <c r="U10" s="56"/>
      <c r="V10" s="57"/>
      <c r="W10" s="90"/>
      <c r="X10" s="91"/>
      <c r="Y10" s="92"/>
      <c r="Z10" s="53">
        <f t="shared" si="0"/>
        <v>0</v>
      </c>
      <c r="AA10" s="78" t="s">
        <v>14</v>
      </c>
      <c r="AB10" s="93"/>
      <c r="AC10" s="80"/>
      <c r="AD10" s="81"/>
      <c r="AE10" s="38"/>
      <c r="AF10" s="121"/>
      <c r="AG10" s="66"/>
      <c r="AH10" s="57"/>
    </row>
    <row r="11" spans="1:34" ht="16.5" thickBot="1" x14ac:dyDescent="0.25">
      <c r="A11" s="82" t="s">
        <v>31</v>
      </c>
      <c r="B11" s="35"/>
      <c r="C11" s="36"/>
      <c r="D11" s="37"/>
      <c r="E11" s="67"/>
      <c r="F11" s="39"/>
      <c r="G11" s="36"/>
      <c r="H11" s="37"/>
      <c r="I11" s="40">
        <f>K10-K11</f>
        <v>0</v>
      </c>
      <c r="J11" s="41"/>
      <c r="K11" s="42"/>
      <c r="L11" s="43"/>
      <c r="M11" s="40">
        <f>(MIN(J11,L11)-T5)</f>
        <v>0</v>
      </c>
      <c r="N11" s="35"/>
      <c r="O11" s="36"/>
      <c r="P11" s="44"/>
      <c r="Q11" s="45"/>
      <c r="R11" s="46"/>
      <c r="S11" s="47"/>
      <c r="T11" s="48"/>
      <c r="U11" s="56"/>
      <c r="V11" s="57"/>
      <c r="W11" s="94"/>
      <c r="X11" s="94"/>
      <c r="Y11" s="94"/>
      <c r="Z11" s="53">
        <f t="shared" si="0"/>
        <v>0</v>
      </c>
      <c r="AA11" s="95" t="s">
        <v>29</v>
      </c>
      <c r="AB11" s="96"/>
      <c r="AC11" s="97"/>
      <c r="AD11" s="20"/>
      <c r="AE11" s="38"/>
      <c r="AF11" s="119" t="s">
        <v>32</v>
      </c>
      <c r="AG11" s="66"/>
      <c r="AH11" s="57"/>
    </row>
    <row r="12" spans="1:34" ht="15" thickBot="1" x14ac:dyDescent="0.25">
      <c r="A12" s="98" t="s">
        <v>19</v>
      </c>
      <c r="B12" s="79"/>
      <c r="C12" s="80"/>
      <c r="D12" s="99"/>
      <c r="E12" s="100"/>
      <c r="F12" s="93"/>
      <c r="G12" s="80"/>
      <c r="H12" s="99"/>
      <c r="I12" s="101">
        <f>L10-L11</f>
        <v>0</v>
      </c>
      <c r="J12" s="102"/>
      <c r="K12" s="103"/>
      <c r="L12" s="90"/>
      <c r="M12" s="101">
        <f>(MIN(J12,L12)-T5)</f>
        <v>0</v>
      </c>
      <c r="N12" s="79"/>
      <c r="O12" s="80"/>
      <c r="P12" s="81"/>
      <c r="Q12" s="104"/>
      <c r="R12" s="105"/>
      <c r="S12" s="106"/>
      <c r="T12" s="107"/>
      <c r="U12" s="108"/>
      <c r="V12" s="109"/>
      <c r="W12" s="110"/>
      <c r="X12" s="110"/>
      <c r="Y12" s="110"/>
      <c r="Z12" s="111">
        <f t="shared" si="0"/>
        <v>0</v>
      </c>
      <c r="AA12" s="78" t="s">
        <v>14</v>
      </c>
      <c r="AB12" s="93"/>
      <c r="AC12" s="80"/>
      <c r="AD12" s="81"/>
      <c r="AE12" s="112"/>
      <c r="AF12" s="121"/>
      <c r="AG12" s="113"/>
      <c r="AH12" s="109"/>
    </row>
    <row r="13" spans="1:34" ht="15" thickBot="1" x14ac:dyDescent="0.25"/>
    <row r="14" spans="1:34" ht="15" thickBot="1" x14ac:dyDescent="0.25">
      <c r="A14" s="1" t="s">
        <v>33</v>
      </c>
      <c r="B14" s="125" t="s">
        <v>34</v>
      </c>
      <c r="C14" s="126"/>
      <c r="D14" s="126"/>
      <c r="E14" s="2" t="s">
        <v>2</v>
      </c>
      <c r="F14" s="127" t="s">
        <v>35</v>
      </c>
      <c r="G14" s="126"/>
      <c r="H14" s="126"/>
      <c r="I14" s="3" t="s">
        <v>2</v>
      </c>
      <c r="J14" s="114" t="s">
        <v>4</v>
      </c>
      <c r="K14" s="115"/>
      <c r="L14" s="116"/>
      <c r="M14" s="2" t="s">
        <v>2</v>
      </c>
      <c r="N14" s="114" t="s">
        <v>5</v>
      </c>
      <c r="O14" s="115"/>
      <c r="P14" s="116"/>
      <c r="Q14" s="114" t="s">
        <v>6</v>
      </c>
      <c r="R14" s="115"/>
      <c r="S14" s="116"/>
      <c r="T14" s="123" t="s">
        <v>2</v>
      </c>
      <c r="U14" s="115"/>
      <c r="V14" s="116"/>
      <c r="W14" s="124" t="s">
        <v>7</v>
      </c>
      <c r="X14" s="115"/>
      <c r="Y14" s="115"/>
      <c r="Z14" s="2" t="s">
        <v>8</v>
      </c>
      <c r="AA14" s="129" t="s">
        <v>9</v>
      </c>
      <c r="AB14" s="126"/>
      <c r="AC14" s="126"/>
      <c r="AD14" s="126"/>
      <c r="AE14" s="4" t="s">
        <v>2</v>
      </c>
      <c r="AF14" s="5" t="s">
        <v>10</v>
      </c>
      <c r="AG14" s="6" t="s">
        <v>11</v>
      </c>
      <c r="AH14" s="7" t="s">
        <v>12</v>
      </c>
    </row>
    <row r="15" spans="1:34" ht="15.75" x14ac:dyDescent="0.2">
      <c r="A15" s="8" t="s">
        <v>13</v>
      </c>
      <c r="B15" s="9">
        <v>2.02</v>
      </c>
      <c r="C15" s="10">
        <v>3.04</v>
      </c>
      <c r="D15" s="11">
        <v>3.54</v>
      </c>
      <c r="E15" s="12"/>
      <c r="F15" s="13">
        <v>2</v>
      </c>
      <c r="G15" s="10">
        <v>3.09</v>
      </c>
      <c r="H15" s="11">
        <v>3.73</v>
      </c>
      <c r="I15" s="14">
        <f>B23-B24</f>
        <v>-1.97</v>
      </c>
      <c r="J15" s="15"/>
      <c r="K15" s="16"/>
      <c r="L15" s="17"/>
      <c r="M15" s="14">
        <f>(MIN(J15,L15)-T18)</f>
        <v>0</v>
      </c>
      <c r="N15" s="18">
        <v>0.92</v>
      </c>
      <c r="O15" s="19">
        <v>0.92</v>
      </c>
      <c r="P15" s="20">
        <v>0.92</v>
      </c>
      <c r="Q15" s="21"/>
      <c r="R15" s="22"/>
      <c r="S15" s="23"/>
      <c r="T15" s="24"/>
      <c r="U15" s="25"/>
      <c r="V15" s="26"/>
      <c r="W15" s="27"/>
      <c r="X15" s="28"/>
      <c r="Y15" s="27"/>
      <c r="Z15" s="29"/>
      <c r="AA15" s="30" t="s">
        <v>14</v>
      </c>
      <c r="AB15" s="9"/>
      <c r="AC15" s="10"/>
      <c r="AD15" s="31"/>
      <c r="AE15" s="32"/>
      <c r="AF15" s="117" t="s">
        <v>36</v>
      </c>
      <c r="AG15" s="33"/>
      <c r="AH15" s="26"/>
    </row>
    <row r="16" spans="1:34" x14ac:dyDescent="0.2">
      <c r="A16" s="34" t="s">
        <v>16</v>
      </c>
      <c r="B16" s="35">
        <v>2.0499999999999998</v>
      </c>
      <c r="C16" s="36">
        <v>3.1</v>
      </c>
      <c r="D16" s="37">
        <v>3.5</v>
      </c>
      <c r="E16" s="38"/>
      <c r="F16" s="39">
        <v>2</v>
      </c>
      <c r="G16" s="36">
        <v>3.25</v>
      </c>
      <c r="H16" s="37">
        <v>3.4</v>
      </c>
      <c r="I16" s="40">
        <f>C23-C24</f>
        <v>-3</v>
      </c>
      <c r="J16" s="41"/>
      <c r="K16" s="42"/>
      <c r="L16" s="43"/>
      <c r="M16" s="40">
        <f>(MIN(J16,L16)-T18)</f>
        <v>0</v>
      </c>
      <c r="N16" s="35">
        <v>0.92</v>
      </c>
      <c r="O16" s="36">
        <v>0.96</v>
      </c>
      <c r="P16" s="44">
        <v>0.84</v>
      </c>
      <c r="Q16" s="45"/>
      <c r="R16" s="46"/>
      <c r="S16" s="47"/>
      <c r="T16" s="48"/>
      <c r="U16" s="49"/>
      <c r="V16" s="50"/>
      <c r="W16" s="51"/>
      <c r="X16" s="52"/>
      <c r="Y16" s="51"/>
      <c r="Z16" s="53">
        <f t="shared" ref="Z16:Z25" si="1">(MIN(J16,L16)-MIN(B16,D16))</f>
        <v>-2.0499999999999998</v>
      </c>
      <c r="AA16" s="54" t="s">
        <v>17</v>
      </c>
      <c r="AB16" s="35"/>
      <c r="AC16" s="36"/>
      <c r="AD16" s="44"/>
      <c r="AE16" s="38"/>
      <c r="AF16" s="118"/>
      <c r="AG16" s="55"/>
      <c r="AH16" s="50"/>
    </row>
    <row r="17" spans="1:34" ht="16.5" thickBot="1" x14ac:dyDescent="0.25">
      <c r="A17" s="34" t="s">
        <v>18</v>
      </c>
      <c r="B17" s="35">
        <v>1.95</v>
      </c>
      <c r="C17" s="36">
        <v>3.3</v>
      </c>
      <c r="D17" s="37">
        <v>4</v>
      </c>
      <c r="E17" s="38"/>
      <c r="F17" s="39">
        <v>2.0499999999999998</v>
      </c>
      <c r="G17" s="36">
        <v>3.25</v>
      </c>
      <c r="H17" s="37">
        <v>3.8</v>
      </c>
      <c r="I17" s="40">
        <f>D23-D24</f>
        <v>-3.65</v>
      </c>
      <c r="J17" s="41"/>
      <c r="K17" s="42"/>
      <c r="L17" s="43"/>
      <c r="M17" s="40">
        <f>(MIN(J17,L17)-T18)</f>
        <v>0</v>
      </c>
      <c r="N17" s="35">
        <v>0.94</v>
      </c>
      <c r="O17" s="36">
        <v>0.96</v>
      </c>
      <c r="P17" s="44">
        <v>0.93</v>
      </c>
      <c r="Q17" s="45"/>
      <c r="R17" s="46"/>
      <c r="S17" s="47"/>
      <c r="T17" s="48"/>
      <c r="U17" s="56"/>
      <c r="V17" s="57"/>
      <c r="W17" s="58">
        <v>1.79</v>
      </c>
      <c r="X17" s="59" t="s">
        <v>37</v>
      </c>
      <c r="Y17" s="60">
        <v>2.0499999999999998</v>
      </c>
      <c r="Z17" s="53">
        <f t="shared" si="1"/>
        <v>-1.95</v>
      </c>
      <c r="AA17" s="61" t="s">
        <v>19</v>
      </c>
      <c r="AB17" s="62"/>
      <c r="AC17" s="63"/>
      <c r="AD17" s="64"/>
      <c r="AE17" s="65"/>
      <c r="AF17" s="128" t="s">
        <v>38</v>
      </c>
      <c r="AG17" s="66"/>
      <c r="AH17" s="57"/>
    </row>
    <row r="18" spans="1:34" ht="16.5" thickBot="1" x14ac:dyDescent="0.25">
      <c r="A18" s="34" t="s">
        <v>21</v>
      </c>
      <c r="B18" s="35">
        <v>2.2000000000000002</v>
      </c>
      <c r="C18" s="36">
        <v>3</v>
      </c>
      <c r="D18" s="37">
        <v>3.2</v>
      </c>
      <c r="E18" s="67"/>
      <c r="F18" s="39">
        <v>1.95</v>
      </c>
      <c r="G18" s="36">
        <v>3.1</v>
      </c>
      <c r="H18" s="37">
        <v>3.8</v>
      </c>
      <c r="I18" s="40"/>
      <c r="J18" s="41"/>
      <c r="K18" s="42"/>
      <c r="L18" s="43"/>
      <c r="M18" s="40">
        <f>(MIN(J18,L18)-T18)</f>
        <v>0</v>
      </c>
      <c r="N18" s="35">
        <v>0.89</v>
      </c>
      <c r="O18" s="36">
        <v>0.92</v>
      </c>
      <c r="P18" s="44">
        <v>0.93</v>
      </c>
      <c r="Q18" s="45"/>
      <c r="R18" s="46"/>
      <c r="S18" s="47"/>
      <c r="T18" s="48"/>
      <c r="U18" s="56"/>
      <c r="V18" s="57"/>
      <c r="W18" s="68"/>
      <c r="X18" s="69"/>
      <c r="Y18" s="70"/>
      <c r="Z18" s="53">
        <f t="shared" si="1"/>
        <v>-2.2000000000000002</v>
      </c>
      <c r="AA18" s="30" t="s">
        <v>14</v>
      </c>
      <c r="AB18" s="71"/>
      <c r="AC18" s="72"/>
      <c r="AD18" s="31"/>
      <c r="AE18" s="38"/>
      <c r="AF18" s="118"/>
      <c r="AG18" s="66"/>
      <c r="AH18" s="57"/>
    </row>
    <row r="19" spans="1:34" ht="15.75" x14ac:dyDescent="0.2">
      <c r="A19" s="34" t="s">
        <v>22</v>
      </c>
      <c r="B19" s="35">
        <v>1.8</v>
      </c>
      <c r="C19" s="36">
        <v>2.8</v>
      </c>
      <c r="D19" s="37">
        <v>3.5</v>
      </c>
      <c r="E19" s="38"/>
      <c r="F19" s="39">
        <v>1.9</v>
      </c>
      <c r="G19" s="36">
        <v>2.75</v>
      </c>
      <c r="H19" s="37">
        <v>3.25</v>
      </c>
      <c r="I19" s="40">
        <f>F23-F24</f>
        <v>-2.02</v>
      </c>
      <c r="J19" s="41"/>
      <c r="K19" s="42"/>
      <c r="L19" s="43"/>
      <c r="M19" s="40">
        <f>(MIN(J19,L19)-T18)</f>
        <v>0</v>
      </c>
      <c r="N19" s="35">
        <v>0.87</v>
      </c>
      <c r="O19" s="36">
        <v>0.82</v>
      </c>
      <c r="P19" s="44">
        <v>0.8</v>
      </c>
      <c r="Q19" s="45"/>
      <c r="R19" s="46"/>
      <c r="S19" s="47"/>
      <c r="T19" s="48"/>
      <c r="U19" s="73"/>
      <c r="V19" s="74"/>
      <c r="W19" s="75"/>
      <c r="X19" s="52"/>
      <c r="Y19" s="51"/>
      <c r="Z19" s="53">
        <f t="shared" si="1"/>
        <v>-1.8</v>
      </c>
      <c r="AA19" s="54" t="s">
        <v>17</v>
      </c>
      <c r="AB19" s="35"/>
      <c r="AC19" s="36"/>
      <c r="AD19" s="44"/>
      <c r="AE19" s="65"/>
      <c r="AF19" s="117" t="s">
        <v>39</v>
      </c>
      <c r="AG19" s="76"/>
      <c r="AH19" s="74"/>
    </row>
    <row r="20" spans="1:34" ht="15" thickBot="1" x14ac:dyDescent="0.25">
      <c r="A20" s="34" t="s">
        <v>24</v>
      </c>
      <c r="B20" s="35">
        <v>2.0499999999999998</v>
      </c>
      <c r="C20" s="36">
        <v>3</v>
      </c>
      <c r="D20" s="37">
        <v>3.65</v>
      </c>
      <c r="E20" s="38"/>
      <c r="F20" s="39">
        <v>2.0499999999999998</v>
      </c>
      <c r="G20" s="36">
        <v>2.95</v>
      </c>
      <c r="H20" s="37">
        <v>3.6</v>
      </c>
      <c r="I20" s="40">
        <f>G23-G24</f>
        <v>-2.96</v>
      </c>
      <c r="J20" s="41"/>
      <c r="K20" s="42"/>
      <c r="L20" s="43"/>
      <c r="M20" s="40">
        <f>(MIN(J20,L20)-T18)</f>
        <v>0</v>
      </c>
      <c r="N20" s="35">
        <v>0.94</v>
      </c>
      <c r="O20" s="36">
        <v>0.87</v>
      </c>
      <c r="P20" s="44">
        <v>0.88</v>
      </c>
      <c r="Q20" s="45"/>
      <c r="R20" s="46"/>
      <c r="S20" s="47"/>
      <c r="T20" s="48"/>
      <c r="U20" s="56"/>
      <c r="V20" s="57"/>
      <c r="W20" s="77">
        <v>1.76</v>
      </c>
      <c r="X20" s="59" t="s">
        <v>37</v>
      </c>
      <c r="Y20" s="58">
        <v>2.08</v>
      </c>
      <c r="Z20" s="53">
        <f t="shared" si="1"/>
        <v>-2.0499999999999998</v>
      </c>
      <c r="AA20" s="78" t="s">
        <v>19</v>
      </c>
      <c r="AB20" s="79"/>
      <c r="AC20" s="80"/>
      <c r="AD20" s="81"/>
      <c r="AE20" s="38"/>
      <c r="AF20" s="118"/>
      <c r="AG20" s="66"/>
      <c r="AH20" s="57"/>
    </row>
    <row r="21" spans="1:34" ht="15" thickBot="1" x14ac:dyDescent="0.25">
      <c r="A21" s="82" t="s">
        <v>25</v>
      </c>
      <c r="B21" s="35"/>
      <c r="C21" s="36"/>
      <c r="D21" s="37"/>
      <c r="E21" s="38"/>
      <c r="F21" s="39"/>
      <c r="G21" s="36"/>
      <c r="H21" s="37"/>
      <c r="I21" s="40">
        <f>H23-H24</f>
        <v>-3.55</v>
      </c>
      <c r="J21" s="41"/>
      <c r="K21" s="42"/>
      <c r="L21" s="43"/>
      <c r="M21" s="83">
        <f>(MIN(J21,L21)-T18)</f>
        <v>0</v>
      </c>
      <c r="N21" s="35"/>
      <c r="O21" s="36"/>
      <c r="P21" s="44"/>
      <c r="Q21" s="45"/>
      <c r="R21" s="46"/>
      <c r="S21" s="47"/>
      <c r="T21" s="48"/>
      <c r="U21" s="56"/>
      <c r="V21" s="57"/>
      <c r="W21" s="84"/>
      <c r="X21" s="85"/>
      <c r="Y21" s="86"/>
      <c r="Z21" s="53">
        <f t="shared" si="1"/>
        <v>0</v>
      </c>
      <c r="AA21" s="122" t="s">
        <v>26</v>
      </c>
      <c r="AB21" s="115"/>
      <c r="AC21" s="115"/>
      <c r="AD21" s="115"/>
      <c r="AE21" s="38"/>
      <c r="AF21" s="119" t="s">
        <v>40</v>
      </c>
      <c r="AG21" s="66"/>
      <c r="AH21" s="57"/>
    </row>
    <row r="22" spans="1:34" ht="15.75" x14ac:dyDescent="0.2">
      <c r="A22" s="34" t="s">
        <v>28</v>
      </c>
      <c r="B22" s="35"/>
      <c r="C22" s="36"/>
      <c r="D22" s="37"/>
      <c r="E22" s="67"/>
      <c r="F22" s="39"/>
      <c r="G22" s="36"/>
      <c r="H22" s="37"/>
      <c r="I22" s="40"/>
      <c r="J22" s="41"/>
      <c r="K22" s="42"/>
      <c r="L22" s="43"/>
      <c r="M22" s="83">
        <f>(MIN(J22,L22)-T18)</f>
        <v>0</v>
      </c>
      <c r="N22" s="35"/>
      <c r="O22" s="36"/>
      <c r="P22" s="44"/>
      <c r="Q22" s="45"/>
      <c r="R22" s="46"/>
      <c r="S22" s="47"/>
      <c r="T22" s="48"/>
      <c r="U22" s="56"/>
      <c r="V22" s="57"/>
      <c r="W22" s="43"/>
      <c r="X22" s="87"/>
      <c r="Y22" s="88"/>
      <c r="Z22" s="53">
        <f t="shared" si="1"/>
        <v>0</v>
      </c>
      <c r="AA22" s="30" t="s">
        <v>29</v>
      </c>
      <c r="AB22" s="89"/>
      <c r="AC22" s="72"/>
      <c r="AD22" s="31"/>
      <c r="AE22" s="38"/>
      <c r="AF22" s="120"/>
      <c r="AG22" s="66"/>
      <c r="AH22" s="57"/>
    </row>
    <row r="23" spans="1:34" ht="15" thickBot="1" x14ac:dyDescent="0.25">
      <c r="A23" s="82" t="s">
        <v>30</v>
      </c>
      <c r="B23" s="35"/>
      <c r="C23" s="36"/>
      <c r="D23" s="37"/>
      <c r="E23" s="67"/>
      <c r="F23" s="39"/>
      <c r="G23" s="36"/>
      <c r="H23" s="37"/>
      <c r="I23" s="40">
        <f>J23-J24</f>
        <v>0</v>
      </c>
      <c r="J23" s="41"/>
      <c r="K23" s="42"/>
      <c r="L23" s="43"/>
      <c r="M23" s="83">
        <f>(MIN(J23,L23)-T18)</f>
        <v>0</v>
      </c>
      <c r="N23" s="35"/>
      <c r="O23" s="36"/>
      <c r="P23" s="44"/>
      <c r="Q23" s="45"/>
      <c r="R23" s="46"/>
      <c r="S23" s="47"/>
      <c r="T23" s="48"/>
      <c r="U23" s="56"/>
      <c r="V23" s="57"/>
      <c r="W23" s="90"/>
      <c r="X23" s="91"/>
      <c r="Y23" s="92"/>
      <c r="Z23" s="53">
        <f t="shared" si="1"/>
        <v>0</v>
      </c>
      <c r="AA23" s="78" t="s">
        <v>14</v>
      </c>
      <c r="AB23" s="93"/>
      <c r="AC23" s="80"/>
      <c r="AD23" s="81"/>
      <c r="AE23" s="38"/>
      <c r="AF23" s="121"/>
      <c r="AG23" s="66"/>
      <c r="AH23" s="57"/>
    </row>
    <row r="24" spans="1:34" ht="16.5" thickBot="1" x14ac:dyDescent="0.25">
      <c r="A24" s="82" t="s">
        <v>31</v>
      </c>
      <c r="B24" s="35">
        <v>1.97</v>
      </c>
      <c r="C24" s="36">
        <v>3</v>
      </c>
      <c r="D24" s="37">
        <v>3.65</v>
      </c>
      <c r="E24" s="67"/>
      <c r="F24" s="39">
        <v>2.02</v>
      </c>
      <c r="G24" s="36">
        <v>2.96</v>
      </c>
      <c r="H24" s="37">
        <v>3.55</v>
      </c>
      <c r="I24" s="40">
        <f>K23-K24</f>
        <v>0</v>
      </c>
      <c r="J24" s="41"/>
      <c r="K24" s="42"/>
      <c r="L24" s="43"/>
      <c r="M24" s="40">
        <f>(MIN(J24,L24)-T18)</f>
        <v>0</v>
      </c>
      <c r="N24" s="35">
        <v>0.93</v>
      </c>
      <c r="O24" s="36">
        <v>0.88</v>
      </c>
      <c r="P24" s="44">
        <v>0.87</v>
      </c>
      <c r="Q24" s="45"/>
      <c r="R24" s="46"/>
      <c r="S24" s="47"/>
      <c r="T24" s="48"/>
      <c r="U24" s="56"/>
      <c r="V24" s="57"/>
      <c r="W24" s="94"/>
      <c r="X24" s="94"/>
      <c r="Y24" s="94"/>
      <c r="Z24" s="53">
        <f t="shared" si="1"/>
        <v>-1.97</v>
      </c>
      <c r="AA24" s="95" t="s">
        <v>29</v>
      </c>
      <c r="AB24" s="96"/>
      <c r="AC24" s="97"/>
      <c r="AD24" s="20"/>
      <c r="AE24" s="38"/>
      <c r="AF24" s="119" t="s">
        <v>32</v>
      </c>
      <c r="AG24" s="66"/>
      <c r="AH24" s="57"/>
    </row>
    <row r="25" spans="1:34" ht="15" thickBot="1" x14ac:dyDescent="0.25">
      <c r="A25" s="98" t="s">
        <v>19</v>
      </c>
      <c r="B25" s="79">
        <v>2.0499999999999998</v>
      </c>
      <c r="C25" s="80">
        <v>3.15</v>
      </c>
      <c r="D25" s="99">
        <v>3.4</v>
      </c>
      <c r="E25" s="100"/>
      <c r="F25" s="93">
        <v>2.02</v>
      </c>
      <c r="G25" s="80">
        <v>3.15</v>
      </c>
      <c r="H25" s="99">
        <v>3.5</v>
      </c>
      <c r="I25" s="101">
        <f>L23-L24</f>
        <v>0</v>
      </c>
      <c r="J25" s="102"/>
      <c r="K25" s="103"/>
      <c r="L25" s="90"/>
      <c r="M25" s="101">
        <f>(MIN(J25,L25)-T18)</f>
        <v>0</v>
      </c>
      <c r="N25" s="79">
        <v>0.93</v>
      </c>
      <c r="O25" s="80">
        <v>0.93</v>
      </c>
      <c r="P25" s="81">
        <v>0.86</v>
      </c>
      <c r="Q25" s="104"/>
      <c r="R25" s="105"/>
      <c r="S25" s="106"/>
      <c r="T25" s="107"/>
      <c r="U25" s="108"/>
      <c r="V25" s="109"/>
      <c r="W25" s="110"/>
      <c r="X25" s="110"/>
      <c r="Y25" s="110"/>
      <c r="Z25" s="111">
        <f t="shared" si="1"/>
        <v>-2.0499999999999998</v>
      </c>
      <c r="AA25" s="78" t="s">
        <v>14</v>
      </c>
      <c r="AB25" s="93"/>
      <c r="AC25" s="80"/>
      <c r="AD25" s="81"/>
      <c r="AE25" s="112"/>
      <c r="AF25" s="121"/>
      <c r="AG25" s="113"/>
      <c r="AH25" s="109"/>
    </row>
    <row r="26" spans="1:34" ht="15" thickBot="1" x14ac:dyDescent="0.25"/>
    <row r="27" spans="1:34" ht="15" thickBot="1" x14ac:dyDescent="0.25">
      <c r="A27" s="1" t="s">
        <v>41</v>
      </c>
      <c r="B27" s="125" t="s">
        <v>42</v>
      </c>
      <c r="C27" s="126"/>
      <c r="D27" s="126"/>
      <c r="E27" s="2" t="s">
        <v>2</v>
      </c>
      <c r="F27" s="127" t="s">
        <v>43</v>
      </c>
      <c r="G27" s="126"/>
      <c r="H27" s="126"/>
      <c r="I27" s="3" t="s">
        <v>2</v>
      </c>
      <c r="J27" s="114" t="s">
        <v>4</v>
      </c>
      <c r="K27" s="115"/>
      <c r="L27" s="116"/>
      <c r="M27" s="2" t="s">
        <v>2</v>
      </c>
      <c r="N27" s="114" t="s">
        <v>5</v>
      </c>
      <c r="O27" s="115"/>
      <c r="P27" s="116"/>
      <c r="Q27" s="114" t="s">
        <v>6</v>
      </c>
      <c r="R27" s="115"/>
      <c r="S27" s="116"/>
      <c r="T27" s="123" t="s">
        <v>2</v>
      </c>
      <c r="U27" s="115"/>
      <c r="V27" s="116"/>
      <c r="W27" s="124" t="s">
        <v>7</v>
      </c>
      <c r="X27" s="115"/>
      <c r="Y27" s="115"/>
      <c r="Z27" s="2" t="s">
        <v>8</v>
      </c>
      <c r="AA27" s="129">
        <v>2</v>
      </c>
      <c r="AB27" s="126"/>
      <c r="AC27" s="126"/>
      <c r="AD27" s="126"/>
      <c r="AE27" s="4" t="s">
        <v>2</v>
      </c>
      <c r="AF27" s="5" t="s">
        <v>10</v>
      </c>
      <c r="AG27" s="6" t="s">
        <v>11</v>
      </c>
      <c r="AH27" s="7" t="s">
        <v>12</v>
      </c>
    </row>
    <row r="28" spans="1:34" ht="15.75" x14ac:dyDescent="0.2">
      <c r="A28" s="8" t="s">
        <v>13</v>
      </c>
      <c r="B28" s="9">
        <v>2.63</v>
      </c>
      <c r="C28" s="10">
        <v>3.51</v>
      </c>
      <c r="D28" s="11">
        <v>2.39</v>
      </c>
      <c r="E28" s="12"/>
      <c r="F28" s="13">
        <v>2.65</v>
      </c>
      <c r="G28" s="10">
        <v>3.44</v>
      </c>
      <c r="H28" s="11">
        <v>2.41</v>
      </c>
      <c r="I28" s="14">
        <f>B36-B37</f>
        <v>0</v>
      </c>
      <c r="J28" s="15"/>
      <c r="K28" s="16"/>
      <c r="L28" s="17"/>
      <c r="M28" s="14">
        <f>(MIN(J28,L28)-T31)</f>
        <v>0</v>
      </c>
      <c r="N28" s="18">
        <v>0.92</v>
      </c>
      <c r="O28" s="19">
        <v>0.92</v>
      </c>
      <c r="P28" s="20">
        <v>0.92</v>
      </c>
      <c r="Q28" s="21"/>
      <c r="R28" s="22"/>
      <c r="S28" s="23"/>
      <c r="T28" s="24"/>
      <c r="U28" s="25"/>
      <c r="V28" s="26"/>
      <c r="W28" s="27"/>
      <c r="X28" s="28"/>
      <c r="Y28" s="27"/>
      <c r="Z28" s="29"/>
      <c r="AA28" s="30" t="s">
        <v>14</v>
      </c>
      <c r="AB28" s="9"/>
      <c r="AC28" s="10"/>
      <c r="AD28" s="31"/>
      <c r="AE28" s="32"/>
      <c r="AF28" s="117" t="s">
        <v>44</v>
      </c>
      <c r="AG28" s="33"/>
      <c r="AH28" s="26"/>
    </row>
    <row r="29" spans="1:34" x14ac:dyDescent="0.2">
      <c r="A29" s="34" t="s">
        <v>16</v>
      </c>
      <c r="B29" s="35">
        <v>2.7</v>
      </c>
      <c r="C29" s="36">
        <v>3.6</v>
      </c>
      <c r="D29" s="37">
        <v>2.38</v>
      </c>
      <c r="E29" s="38"/>
      <c r="F29" s="39">
        <v>2.7</v>
      </c>
      <c r="G29" s="36">
        <v>3.6</v>
      </c>
      <c r="H29" s="37">
        <v>2.4</v>
      </c>
      <c r="I29" s="40">
        <f>C36-C37</f>
        <v>0</v>
      </c>
      <c r="J29" s="41"/>
      <c r="K29" s="42"/>
      <c r="L29" s="43"/>
      <c r="M29" s="40">
        <f>(MIN(J29,L29)-T31)</f>
        <v>0</v>
      </c>
      <c r="N29" s="35">
        <v>0.94</v>
      </c>
      <c r="O29" s="36">
        <v>0.97</v>
      </c>
      <c r="P29" s="44">
        <v>0.92</v>
      </c>
      <c r="Q29" s="45"/>
      <c r="R29" s="46"/>
      <c r="S29" s="47"/>
      <c r="T29" s="48"/>
      <c r="U29" s="49"/>
      <c r="V29" s="50"/>
      <c r="W29" s="51">
        <v>1.53</v>
      </c>
      <c r="X29" s="52" t="s">
        <v>45</v>
      </c>
      <c r="Y29" s="51">
        <v>2.4500000000000002</v>
      </c>
      <c r="Z29" s="53">
        <f t="shared" ref="Z29:Z38" si="2">(MIN(J29,L29)-MIN(B29,D29))</f>
        <v>-2.38</v>
      </c>
      <c r="AA29" s="54" t="s">
        <v>17</v>
      </c>
      <c r="AB29" s="35">
        <v>1.17</v>
      </c>
      <c r="AC29" s="36">
        <v>7</v>
      </c>
      <c r="AD29" s="44">
        <v>12</v>
      </c>
      <c r="AE29" s="38"/>
      <c r="AF29" s="118"/>
      <c r="AG29" s="55"/>
      <c r="AH29" s="50"/>
    </row>
    <row r="30" spans="1:34" ht="16.5" thickBot="1" x14ac:dyDescent="0.25">
      <c r="A30" s="34" t="s">
        <v>18</v>
      </c>
      <c r="B30" s="35">
        <v>2.7</v>
      </c>
      <c r="C30" s="36">
        <v>3.4</v>
      </c>
      <c r="D30" s="37">
        <v>2.4500000000000002</v>
      </c>
      <c r="E30" s="38"/>
      <c r="F30" s="39">
        <v>2.75</v>
      </c>
      <c r="G30" s="36">
        <v>3.4</v>
      </c>
      <c r="H30" s="37">
        <v>2.4500000000000002</v>
      </c>
      <c r="I30" s="40">
        <f>D36-D37</f>
        <v>0</v>
      </c>
      <c r="J30" s="41"/>
      <c r="K30" s="42"/>
      <c r="L30" s="43"/>
      <c r="M30" s="40">
        <f>(MIN(J30,L30)-T31)</f>
        <v>0</v>
      </c>
      <c r="N30" s="35">
        <v>0.96</v>
      </c>
      <c r="O30" s="36">
        <v>0.91</v>
      </c>
      <c r="P30" s="44">
        <v>0.94</v>
      </c>
      <c r="Q30" s="45"/>
      <c r="R30" s="46"/>
      <c r="S30" s="47"/>
      <c r="T30" s="48"/>
      <c r="U30" s="56"/>
      <c r="V30" s="57"/>
      <c r="W30" s="58">
        <v>2.06</v>
      </c>
      <c r="X30" s="59" t="s">
        <v>46</v>
      </c>
      <c r="Y30" s="60">
        <v>1.86</v>
      </c>
      <c r="Z30" s="53">
        <f t="shared" si="2"/>
        <v>-2.4500000000000002</v>
      </c>
      <c r="AA30" s="61" t="s">
        <v>19</v>
      </c>
      <c r="AB30" s="62"/>
      <c r="AC30" s="63"/>
      <c r="AD30" s="64"/>
      <c r="AE30" s="65"/>
      <c r="AF30" s="128" t="s">
        <v>47</v>
      </c>
      <c r="AG30" s="66"/>
      <c r="AH30" s="57"/>
    </row>
    <row r="31" spans="1:34" ht="16.5" thickBot="1" x14ac:dyDescent="0.25">
      <c r="A31" s="34" t="s">
        <v>21</v>
      </c>
      <c r="B31" s="35">
        <v>2.65</v>
      </c>
      <c r="C31" s="36">
        <v>3.4</v>
      </c>
      <c r="D31" s="37">
        <v>2.4500000000000002</v>
      </c>
      <c r="E31" s="67"/>
      <c r="F31" s="39">
        <v>2.7</v>
      </c>
      <c r="G31" s="36">
        <v>3.4</v>
      </c>
      <c r="H31" s="37">
        <v>2.4</v>
      </c>
      <c r="I31" s="40"/>
      <c r="J31" s="41"/>
      <c r="K31" s="42"/>
      <c r="L31" s="43"/>
      <c r="M31" s="40">
        <f>(MIN(J31,L31)-T31)</f>
        <v>0</v>
      </c>
      <c r="N31" s="35">
        <v>0.94</v>
      </c>
      <c r="O31" s="36">
        <v>0.91</v>
      </c>
      <c r="P31" s="44">
        <v>0.92</v>
      </c>
      <c r="Q31" s="45"/>
      <c r="R31" s="46"/>
      <c r="S31" s="47"/>
      <c r="T31" s="48"/>
      <c r="U31" s="56"/>
      <c r="V31" s="57"/>
      <c r="W31" s="68"/>
      <c r="X31" s="69"/>
      <c r="Y31" s="70"/>
      <c r="Z31" s="53">
        <f t="shared" si="2"/>
        <v>-2.4500000000000002</v>
      </c>
      <c r="AA31" s="30" t="s">
        <v>14</v>
      </c>
      <c r="AB31" s="71"/>
      <c r="AC31" s="72"/>
      <c r="AD31" s="31"/>
      <c r="AE31" s="38"/>
      <c r="AF31" s="118"/>
      <c r="AG31" s="66"/>
      <c r="AH31" s="57"/>
    </row>
    <row r="32" spans="1:34" ht="15.75" x14ac:dyDescent="0.2">
      <c r="A32" s="34" t="s">
        <v>22</v>
      </c>
      <c r="B32" s="35">
        <v>2.5</v>
      </c>
      <c r="C32" s="36">
        <v>3.25</v>
      </c>
      <c r="D32" s="37">
        <v>2.25</v>
      </c>
      <c r="E32" s="38"/>
      <c r="F32" s="39">
        <v>2.5</v>
      </c>
      <c r="G32" s="36">
        <v>3.2</v>
      </c>
      <c r="H32" s="37">
        <v>2.2999999999999998</v>
      </c>
      <c r="I32" s="40">
        <f>F36-F37</f>
        <v>0</v>
      </c>
      <c r="J32" s="41"/>
      <c r="K32" s="42"/>
      <c r="L32" s="43"/>
      <c r="M32" s="40">
        <f>(MIN(J32,L32)-T31)</f>
        <v>0</v>
      </c>
      <c r="N32" s="35">
        <v>0.87</v>
      </c>
      <c r="O32" s="36">
        <v>0.86</v>
      </c>
      <c r="P32" s="44">
        <v>0.88</v>
      </c>
      <c r="Q32" s="45"/>
      <c r="R32" s="46"/>
      <c r="S32" s="47"/>
      <c r="T32" s="48"/>
      <c r="U32" s="73"/>
      <c r="V32" s="74"/>
      <c r="W32" s="75">
        <v>1.53</v>
      </c>
      <c r="X32" s="52" t="s">
        <v>45</v>
      </c>
      <c r="Y32" s="51">
        <v>2.5</v>
      </c>
      <c r="Z32" s="53">
        <f t="shared" si="2"/>
        <v>-2.25</v>
      </c>
      <c r="AA32" s="54" t="s">
        <v>17</v>
      </c>
      <c r="AB32" s="35">
        <v>1.17</v>
      </c>
      <c r="AC32" s="36">
        <v>7</v>
      </c>
      <c r="AD32" s="44">
        <v>12</v>
      </c>
      <c r="AE32" s="65"/>
      <c r="AF32" s="117" t="s">
        <v>48</v>
      </c>
      <c r="AG32" s="76"/>
      <c r="AH32" s="74"/>
    </row>
    <row r="33" spans="1:34" ht="15" thickBot="1" x14ac:dyDescent="0.25">
      <c r="A33" s="34" t="s">
        <v>24</v>
      </c>
      <c r="B33" s="35">
        <v>2.65</v>
      </c>
      <c r="C33" s="36">
        <v>3.5</v>
      </c>
      <c r="D33" s="37">
        <v>2.4</v>
      </c>
      <c r="E33" s="38"/>
      <c r="F33" s="39">
        <v>2.7</v>
      </c>
      <c r="G33" s="36">
        <v>3.5</v>
      </c>
      <c r="H33" s="37">
        <v>2.5</v>
      </c>
      <c r="I33" s="40">
        <f>G36-G37</f>
        <v>0</v>
      </c>
      <c r="J33" s="41"/>
      <c r="K33" s="42"/>
      <c r="L33" s="43"/>
      <c r="M33" s="40">
        <f>(MIN(J33,L33)-T31)</f>
        <v>0</v>
      </c>
      <c r="N33" s="35">
        <v>0.94</v>
      </c>
      <c r="O33" s="36">
        <v>0.94</v>
      </c>
      <c r="P33" s="44">
        <v>0.96</v>
      </c>
      <c r="Q33" s="45"/>
      <c r="R33" s="46"/>
      <c r="S33" s="47"/>
      <c r="T33" s="48"/>
      <c r="U33" s="56"/>
      <c r="V33" s="57"/>
      <c r="W33" s="77">
        <v>2.06</v>
      </c>
      <c r="X33" s="59" t="s">
        <v>46</v>
      </c>
      <c r="Y33" s="58">
        <v>1.86</v>
      </c>
      <c r="Z33" s="53">
        <f t="shared" si="2"/>
        <v>-2.4</v>
      </c>
      <c r="AA33" s="78" t="s">
        <v>19</v>
      </c>
      <c r="AB33" s="79"/>
      <c r="AC33" s="80"/>
      <c r="AD33" s="81"/>
      <c r="AE33" s="38"/>
      <c r="AF33" s="118"/>
      <c r="AG33" s="66"/>
      <c r="AH33" s="57"/>
    </row>
    <row r="34" spans="1:34" ht="15" thickBot="1" x14ac:dyDescent="0.25">
      <c r="A34" s="82" t="s">
        <v>25</v>
      </c>
      <c r="B34" s="35"/>
      <c r="C34" s="36"/>
      <c r="D34" s="37"/>
      <c r="E34" s="38"/>
      <c r="F34" s="39"/>
      <c r="G34" s="36"/>
      <c r="H34" s="37"/>
      <c r="I34" s="40">
        <f>H36-H37</f>
        <v>0</v>
      </c>
      <c r="J34" s="41"/>
      <c r="K34" s="42"/>
      <c r="L34" s="43"/>
      <c r="M34" s="83">
        <f>(MIN(J34,L34)-T31)</f>
        <v>0</v>
      </c>
      <c r="N34" s="35"/>
      <c r="O34" s="36"/>
      <c r="P34" s="44"/>
      <c r="Q34" s="45"/>
      <c r="R34" s="46"/>
      <c r="S34" s="47"/>
      <c r="T34" s="48"/>
      <c r="U34" s="56"/>
      <c r="V34" s="57"/>
      <c r="W34" s="84"/>
      <c r="X34" s="85"/>
      <c r="Y34" s="86"/>
      <c r="Z34" s="53">
        <f t="shared" si="2"/>
        <v>0</v>
      </c>
      <c r="AA34" s="122" t="s">
        <v>26</v>
      </c>
      <c r="AB34" s="115"/>
      <c r="AC34" s="115"/>
      <c r="AD34" s="115"/>
      <c r="AE34" s="38"/>
      <c r="AF34" s="119" t="s">
        <v>49</v>
      </c>
      <c r="AG34" s="66"/>
      <c r="AH34" s="57"/>
    </row>
    <row r="35" spans="1:34" ht="15.75" x14ac:dyDescent="0.2">
      <c r="A35" s="34" t="s">
        <v>28</v>
      </c>
      <c r="B35" s="35"/>
      <c r="C35" s="36"/>
      <c r="D35" s="37"/>
      <c r="E35" s="67"/>
      <c r="F35" s="39"/>
      <c r="G35" s="36"/>
      <c r="H35" s="37"/>
      <c r="I35" s="40"/>
      <c r="J35" s="41"/>
      <c r="K35" s="42"/>
      <c r="L35" s="43"/>
      <c r="M35" s="83">
        <f>(MIN(J35,L35)-T31)</f>
        <v>0</v>
      </c>
      <c r="N35" s="35"/>
      <c r="O35" s="36"/>
      <c r="P35" s="44"/>
      <c r="Q35" s="45"/>
      <c r="R35" s="46"/>
      <c r="S35" s="47"/>
      <c r="T35" s="48"/>
      <c r="U35" s="56"/>
      <c r="V35" s="57"/>
      <c r="W35" s="43"/>
      <c r="X35" s="87"/>
      <c r="Y35" s="88"/>
      <c r="Z35" s="53">
        <f t="shared" si="2"/>
        <v>0</v>
      </c>
      <c r="AA35" s="30" t="s">
        <v>29</v>
      </c>
      <c r="AB35" s="89"/>
      <c r="AC35" s="72"/>
      <c r="AD35" s="31"/>
      <c r="AE35" s="38"/>
      <c r="AF35" s="120"/>
      <c r="AG35" s="66"/>
      <c r="AH35" s="57"/>
    </row>
    <row r="36" spans="1:34" ht="15" thickBot="1" x14ac:dyDescent="0.25">
      <c r="A36" s="82" t="s">
        <v>30</v>
      </c>
      <c r="B36" s="35"/>
      <c r="C36" s="36"/>
      <c r="D36" s="37"/>
      <c r="E36" s="67"/>
      <c r="F36" s="39"/>
      <c r="G36" s="36"/>
      <c r="H36" s="37"/>
      <c r="I36" s="40">
        <f>J36-J37</f>
        <v>0</v>
      </c>
      <c r="J36" s="41"/>
      <c r="K36" s="42"/>
      <c r="L36" s="43"/>
      <c r="M36" s="83">
        <f>(MIN(J36,L36)-T31)</f>
        <v>0</v>
      </c>
      <c r="N36" s="35"/>
      <c r="O36" s="36"/>
      <c r="P36" s="44"/>
      <c r="Q36" s="45"/>
      <c r="R36" s="46"/>
      <c r="S36" s="47"/>
      <c r="T36" s="48"/>
      <c r="U36" s="56"/>
      <c r="V36" s="57"/>
      <c r="W36" s="90"/>
      <c r="X36" s="91"/>
      <c r="Y36" s="92"/>
      <c r="Z36" s="53">
        <f t="shared" si="2"/>
        <v>0</v>
      </c>
      <c r="AA36" s="78" t="s">
        <v>14</v>
      </c>
      <c r="AB36" s="93"/>
      <c r="AC36" s="80"/>
      <c r="AD36" s="81"/>
      <c r="AE36" s="38"/>
      <c r="AF36" s="121"/>
      <c r="AG36" s="66"/>
      <c r="AH36" s="57"/>
    </row>
    <row r="37" spans="1:34" ht="16.5" thickBot="1" x14ac:dyDescent="0.25">
      <c r="A37" s="82" t="s">
        <v>31</v>
      </c>
      <c r="B37" s="35"/>
      <c r="C37" s="36"/>
      <c r="D37" s="37"/>
      <c r="E37" s="67"/>
      <c r="F37" s="39"/>
      <c r="G37" s="36"/>
      <c r="H37" s="37"/>
      <c r="I37" s="40">
        <f>K36-K37</f>
        <v>0</v>
      </c>
      <c r="J37" s="41"/>
      <c r="K37" s="42"/>
      <c r="L37" s="43"/>
      <c r="M37" s="40">
        <f>(MIN(J37,L37)-T31)</f>
        <v>0</v>
      </c>
      <c r="N37" s="35"/>
      <c r="O37" s="36"/>
      <c r="P37" s="44"/>
      <c r="Q37" s="45"/>
      <c r="R37" s="46"/>
      <c r="S37" s="47"/>
      <c r="T37" s="48"/>
      <c r="U37" s="56"/>
      <c r="V37" s="57"/>
      <c r="W37" s="94"/>
      <c r="X37" s="94"/>
      <c r="Y37" s="94"/>
      <c r="Z37" s="53">
        <f t="shared" si="2"/>
        <v>0</v>
      </c>
      <c r="AA37" s="95" t="s">
        <v>29</v>
      </c>
      <c r="AB37" s="96"/>
      <c r="AC37" s="97"/>
      <c r="AD37" s="20"/>
      <c r="AE37" s="38"/>
      <c r="AF37" s="119" t="s">
        <v>32</v>
      </c>
      <c r="AG37" s="66"/>
      <c r="AH37" s="57"/>
    </row>
    <row r="38" spans="1:34" ht="15" thickBot="1" x14ac:dyDescent="0.25">
      <c r="A38" s="98" t="s">
        <v>19</v>
      </c>
      <c r="B38" s="79">
        <v>2.64</v>
      </c>
      <c r="C38" s="80">
        <v>3.65</v>
      </c>
      <c r="D38" s="99">
        <v>2.35</v>
      </c>
      <c r="E38" s="100"/>
      <c r="F38" s="93">
        <v>2.64</v>
      </c>
      <c r="G38" s="80">
        <v>3.65</v>
      </c>
      <c r="H38" s="99">
        <v>2.35</v>
      </c>
      <c r="I38" s="101">
        <f>L36-L37</f>
        <v>0</v>
      </c>
      <c r="J38" s="102"/>
      <c r="K38" s="103"/>
      <c r="L38" s="90"/>
      <c r="M38" s="101">
        <f>(MIN(J38,L38)-T31)</f>
        <v>0</v>
      </c>
      <c r="N38" s="79">
        <v>0.92</v>
      </c>
      <c r="O38" s="80">
        <v>0.98</v>
      </c>
      <c r="P38" s="81">
        <v>0.9</v>
      </c>
      <c r="Q38" s="104"/>
      <c r="R38" s="105"/>
      <c r="S38" s="106"/>
      <c r="T38" s="107"/>
      <c r="U38" s="108"/>
      <c r="V38" s="109"/>
      <c r="W38" s="110"/>
      <c r="X38" s="110"/>
      <c r="Y38" s="110"/>
      <c r="Z38" s="111">
        <f t="shared" si="2"/>
        <v>-2.35</v>
      </c>
      <c r="AA38" s="78" t="s">
        <v>14</v>
      </c>
      <c r="AB38" s="93"/>
      <c r="AC38" s="80"/>
      <c r="AD38" s="81"/>
      <c r="AE38" s="112"/>
      <c r="AF38" s="121"/>
      <c r="AG38" s="113"/>
      <c r="AH38" s="109"/>
    </row>
    <row r="39" spans="1:34" ht="15" thickBot="1" x14ac:dyDescent="0.25"/>
    <row r="40" spans="1:34" ht="15" thickBot="1" x14ac:dyDescent="0.25">
      <c r="A40" s="1" t="s">
        <v>50</v>
      </c>
      <c r="B40" s="125" t="s">
        <v>51</v>
      </c>
      <c r="C40" s="126"/>
      <c r="D40" s="126"/>
      <c r="E40" s="2" t="s">
        <v>2</v>
      </c>
      <c r="F40" s="127" t="s">
        <v>52</v>
      </c>
      <c r="G40" s="126"/>
      <c r="H40" s="126"/>
      <c r="I40" s="3" t="s">
        <v>2</v>
      </c>
      <c r="J40" s="114" t="s">
        <v>4</v>
      </c>
      <c r="K40" s="115"/>
      <c r="L40" s="116"/>
      <c r="M40" s="2" t="s">
        <v>2</v>
      </c>
      <c r="N40" s="114" t="s">
        <v>5</v>
      </c>
      <c r="O40" s="115"/>
      <c r="P40" s="116"/>
      <c r="Q40" s="114" t="s">
        <v>6</v>
      </c>
      <c r="R40" s="115"/>
      <c r="S40" s="116"/>
      <c r="T40" s="123" t="s">
        <v>2</v>
      </c>
      <c r="U40" s="115"/>
      <c r="V40" s="116"/>
      <c r="W40" s="124" t="s">
        <v>7</v>
      </c>
      <c r="X40" s="115"/>
      <c r="Y40" s="115"/>
      <c r="Z40" s="2" t="s">
        <v>8</v>
      </c>
      <c r="AA40" s="129" t="s">
        <v>9</v>
      </c>
      <c r="AB40" s="126"/>
      <c r="AC40" s="126"/>
      <c r="AD40" s="126"/>
      <c r="AE40" s="4" t="s">
        <v>2</v>
      </c>
      <c r="AF40" s="5" t="s">
        <v>10</v>
      </c>
      <c r="AG40" s="6" t="s">
        <v>11</v>
      </c>
      <c r="AH40" s="7" t="s">
        <v>12</v>
      </c>
    </row>
    <row r="41" spans="1:34" ht="15.75" x14ac:dyDescent="0.2">
      <c r="A41" s="8" t="s">
        <v>13</v>
      </c>
      <c r="B41" s="9">
        <v>2.2799999999999998</v>
      </c>
      <c r="C41" s="10">
        <v>3.05</v>
      </c>
      <c r="D41" s="11">
        <v>3.07</v>
      </c>
      <c r="E41" s="12"/>
      <c r="F41" s="13">
        <v>2.27</v>
      </c>
      <c r="G41" s="10">
        <v>3.09</v>
      </c>
      <c r="H41" s="11">
        <v>3.04</v>
      </c>
      <c r="I41" s="14">
        <f>B49-B50</f>
        <v>0</v>
      </c>
      <c r="J41" s="15"/>
      <c r="K41" s="16"/>
      <c r="L41" s="17"/>
      <c r="M41" s="14">
        <f>(MIN(J41,L41)-T44)</f>
        <v>0</v>
      </c>
      <c r="N41" s="18">
        <v>0.91</v>
      </c>
      <c r="O41" s="19">
        <v>0.91</v>
      </c>
      <c r="P41" s="20">
        <v>0.91</v>
      </c>
      <c r="Q41" s="21"/>
      <c r="R41" s="22"/>
      <c r="S41" s="23"/>
      <c r="T41" s="24"/>
      <c r="U41" s="25"/>
      <c r="V41" s="26"/>
      <c r="W41" s="27"/>
      <c r="X41" s="28"/>
      <c r="Y41" s="27"/>
      <c r="Z41" s="29"/>
      <c r="AA41" s="30" t="s">
        <v>14</v>
      </c>
      <c r="AB41" s="9"/>
      <c r="AC41" s="10"/>
      <c r="AD41" s="31"/>
      <c r="AE41" s="32"/>
      <c r="AF41" s="117" t="s">
        <v>53</v>
      </c>
      <c r="AG41" s="33"/>
      <c r="AH41" s="26"/>
    </row>
    <row r="42" spans="1:34" x14ac:dyDescent="0.2">
      <c r="A42" s="34" t="s">
        <v>16</v>
      </c>
      <c r="B42" s="35"/>
      <c r="C42" s="36"/>
      <c r="D42" s="37"/>
      <c r="E42" s="38"/>
      <c r="F42" s="39"/>
      <c r="G42" s="36"/>
      <c r="H42" s="37"/>
      <c r="I42" s="40">
        <f>C49-C50</f>
        <v>0</v>
      </c>
      <c r="J42" s="41"/>
      <c r="K42" s="42"/>
      <c r="L42" s="43"/>
      <c r="M42" s="40">
        <f>(MIN(J42,L42)-T44)</f>
        <v>0</v>
      </c>
      <c r="N42" s="35"/>
      <c r="O42" s="36"/>
      <c r="P42" s="44"/>
      <c r="Q42" s="45"/>
      <c r="R42" s="46"/>
      <c r="S42" s="47"/>
      <c r="T42" s="48"/>
      <c r="U42" s="49"/>
      <c r="V42" s="50"/>
      <c r="W42" s="51"/>
      <c r="X42" s="52"/>
      <c r="Y42" s="51"/>
      <c r="Z42" s="53">
        <f t="shared" ref="Z42:Z51" si="3">(MIN(J42,L42)-MIN(B42,D42))</f>
        <v>0</v>
      </c>
      <c r="AA42" s="54" t="s">
        <v>17</v>
      </c>
      <c r="AB42" s="35"/>
      <c r="AC42" s="36"/>
      <c r="AD42" s="44"/>
      <c r="AE42" s="38"/>
      <c r="AF42" s="118"/>
      <c r="AG42" s="55"/>
      <c r="AH42" s="50"/>
    </row>
    <row r="43" spans="1:34" ht="16.5" thickBot="1" x14ac:dyDescent="0.25">
      <c r="A43" s="34" t="s">
        <v>18</v>
      </c>
      <c r="B43" s="35"/>
      <c r="C43" s="36"/>
      <c r="D43" s="37"/>
      <c r="E43" s="38"/>
      <c r="F43" s="39"/>
      <c r="G43" s="36"/>
      <c r="H43" s="37"/>
      <c r="I43" s="40">
        <f>D49-D50</f>
        <v>0</v>
      </c>
      <c r="J43" s="41"/>
      <c r="K43" s="42"/>
      <c r="L43" s="43"/>
      <c r="M43" s="40">
        <f>(MIN(J43,L43)-T44)</f>
        <v>0</v>
      </c>
      <c r="N43" s="35"/>
      <c r="O43" s="36"/>
      <c r="P43" s="44"/>
      <c r="Q43" s="45"/>
      <c r="R43" s="46"/>
      <c r="S43" s="47"/>
      <c r="T43" s="48"/>
      <c r="U43" s="56"/>
      <c r="V43" s="57"/>
      <c r="W43" s="58"/>
      <c r="X43" s="59"/>
      <c r="Y43" s="60"/>
      <c r="Z43" s="53">
        <f t="shared" si="3"/>
        <v>0</v>
      </c>
      <c r="AA43" s="61" t="s">
        <v>19</v>
      </c>
      <c r="AB43" s="62"/>
      <c r="AC43" s="63"/>
      <c r="AD43" s="64"/>
      <c r="AE43" s="65"/>
      <c r="AF43" s="128" t="s">
        <v>54</v>
      </c>
      <c r="AG43" s="66"/>
      <c r="AH43" s="57"/>
    </row>
    <row r="44" spans="1:34" ht="16.5" thickBot="1" x14ac:dyDescent="0.25">
      <c r="A44" s="34" t="s">
        <v>21</v>
      </c>
      <c r="B44" s="35"/>
      <c r="C44" s="36"/>
      <c r="D44" s="37"/>
      <c r="E44" s="67"/>
      <c r="F44" s="39"/>
      <c r="G44" s="36"/>
      <c r="H44" s="37"/>
      <c r="I44" s="40"/>
      <c r="J44" s="41"/>
      <c r="K44" s="42"/>
      <c r="L44" s="43"/>
      <c r="M44" s="40">
        <f>(MIN(J44,L44)-T44)</f>
        <v>0</v>
      </c>
      <c r="N44" s="35"/>
      <c r="O44" s="36"/>
      <c r="P44" s="44"/>
      <c r="Q44" s="45"/>
      <c r="R44" s="46"/>
      <c r="S44" s="47"/>
      <c r="T44" s="48"/>
      <c r="U44" s="56"/>
      <c r="V44" s="57"/>
      <c r="W44" s="68"/>
      <c r="X44" s="69"/>
      <c r="Y44" s="70"/>
      <c r="Z44" s="53">
        <f t="shared" si="3"/>
        <v>0</v>
      </c>
      <c r="AA44" s="30" t="s">
        <v>14</v>
      </c>
      <c r="AB44" s="71"/>
      <c r="AC44" s="72"/>
      <c r="AD44" s="31"/>
      <c r="AE44" s="38"/>
      <c r="AF44" s="118"/>
      <c r="AG44" s="66"/>
      <c r="AH44" s="57"/>
    </row>
    <row r="45" spans="1:34" ht="15.75" x14ac:dyDescent="0.2">
      <c r="A45" s="34" t="s">
        <v>22</v>
      </c>
      <c r="B45" s="35"/>
      <c r="C45" s="36"/>
      <c r="D45" s="37"/>
      <c r="E45" s="38"/>
      <c r="F45" s="39"/>
      <c r="G45" s="36"/>
      <c r="H45" s="37"/>
      <c r="I45" s="40">
        <f>F49-F50</f>
        <v>0</v>
      </c>
      <c r="J45" s="41"/>
      <c r="K45" s="42"/>
      <c r="L45" s="43"/>
      <c r="M45" s="40">
        <f>(MIN(J45,L45)-T44)</f>
        <v>0</v>
      </c>
      <c r="N45" s="35"/>
      <c r="O45" s="36"/>
      <c r="P45" s="44"/>
      <c r="Q45" s="45"/>
      <c r="R45" s="46"/>
      <c r="S45" s="47"/>
      <c r="T45" s="48"/>
      <c r="U45" s="73"/>
      <c r="V45" s="74"/>
      <c r="W45" s="75"/>
      <c r="X45" s="52"/>
      <c r="Y45" s="51"/>
      <c r="Z45" s="53">
        <f t="shared" si="3"/>
        <v>0</v>
      </c>
      <c r="AA45" s="54" t="s">
        <v>17</v>
      </c>
      <c r="AB45" s="35"/>
      <c r="AC45" s="36"/>
      <c r="AD45" s="44"/>
      <c r="AE45" s="65"/>
      <c r="AF45" s="117" t="s">
        <v>55</v>
      </c>
      <c r="AG45" s="76"/>
      <c r="AH45" s="74"/>
    </row>
    <row r="46" spans="1:34" ht="15" thickBot="1" x14ac:dyDescent="0.25">
      <c r="A46" s="34" t="s">
        <v>24</v>
      </c>
      <c r="B46" s="35"/>
      <c r="C46" s="36"/>
      <c r="D46" s="37"/>
      <c r="E46" s="38"/>
      <c r="F46" s="39"/>
      <c r="G46" s="36"/>
      <c r="H46" s="37"/>
      <c r="I46" s="40">
        <f>G49-G50</f>
        <v>0</v>
      </c>
      <c r="J46" s="41"/>
      <c r="K46" s="42"/>
      <c r="L46" s="43"/>
      <c r="M46" s="40">
        <f>(MIN(J46,L46)-T44)</f>
        <v>0</v>
      </c>
      <c r="N46" s="35"/>
      <c r="O46" s="36"/>
      <c r="P46" s="44"/>
      <c r="Q46" s="45"/>
      <c r="R46" s="46"/>
      <c r="S46" s="47"/>
      <c r="T46" s="48"/>
      <c r="U46" s="56"/>
      <c r="V46" s="57"/>
      <c r="W46" s="77"/>
      <c r="X46" s="59"/>
      <c r="Y46" s="58"/>
      <c r="Z46" s="53">
        <f t="shared" si="3"/>
        <v>0</v>
      </c>
      <c r="AA46" s="78" t="s">
        <v>19</v>
      </c>
      <c r="AB46" s="79"/>
      <c r="AC46" s="80"/>
      <c r="AD46" s="81"/>
      <c r="AE46" s="38"/>
      <c r="AF46" s="118"/>
      <c r="AG46" s="66"/>
      <c r="AH46" s="57"/>
    </row>
    <row r="47" spans="1:34" ht="15" thickBot="1" x14ac:dyDescent="0.25">
      <c r="A47" s="82" t="s">
        <v>25</v>
      </c>
      <c r="B47" s="35"/>
      <c r="C47" s="36"/>
      <c r="D47" s="37"/>
      <c r="E47" s="38"/>
      <c r="F47" s="39"/>
      <c r="G47" s="36"/>
      <c r="H47" s="37"/>
      <c r="I47" s="40">
        <f>H49-H50</f>
        <v>0</v>
      </c>
      <c r="J47" s="41"/>
      <c r="K47" s="42"/>
      <c r="L47" s="43"/>
      <c r="M47" s="83">
        <f>(MIN(J47,L47)-T44)</f>
        <v>0</v>
      </c>
      <c r="N47" s="35"/>
      <c r="O47" s="36"/>
      <c r="P47" s="44"/>
      <c r="Q47" s="45"/>
      <c r="R47" s="46"/>
      <c r="S47" s="47"/>
      <c r="T47" s="48"/>
      <c r="U47" s="56"/>
      <c r="V47" s="57"/>
      <c r="W47" s="84"/>
      <c r="X47" s="85"/>
      <c r="Y47" s="86"/>
      <c r="Z47" s="53">
        <f t="shared" si="3"/>
        <v>0</v>
      </c>
      <c r="AA47" s="122" t="s">
        <v>26</v>
      </c>
      <c r="AB47" s="115"/>
      <c r="AC47" s="115"/>
      <c r="AD47" s="115"/>
      <c r="AE47" s="38"/>
      <c r="AF47" s="119" t="s">
        <v>56</v>
      </c>
      <c r="AG47" s="66"/>
      <c r="AH47" s="57"/>
    </row>
    <row r="48" spans="1:34" ht="15.75" x14ac:dyDescent="0.2">
      <c r="A48" s="34" t="s">
        <v>28</v>
      </c>
      <c r="B48" s="35"/>
      <c r="C48" s="36"/>
      <c r="D48" s="37"/>
      <c r="E48" s="67"/>
      <c r="F48" s="39"/>
      <c r="G48" s="36"/>
      <c r="H48" s="37"/>
      <c r="I48" s="40"/>
      <c r="J48" s="41"/>
      <c r="K48" s="42"/>
      <c r="L48" s="43"/>
      <c r="M48" s="83">
        <f>(MIN(J48,L48)-T44)</f>
        <v>0</v>
      </c>
      <c r="N48" s="35"/>
      <c r="O48" s="36"/>
      <c r="P48" s="44"/>
      <c r="Q48" s="45"/>
      <c r="R48" s="46"/>
      <c r="S48" s="47"/>
      <c r="T48" s="48"/>
      <c r="U48" s="56"/>
      <c r="V48" s="57"/>
      <c r="W48" s="43"/>
      <c r="X48" s="87"/>
      <c r="Y48" s="88"/>
      <c r="Z48" s="53">
        <f t="shared" si="3"/>
        <v>0</v>
      </c>
      <c r="AA48" s="30" t="s">
        <v>29</v>
      </c>
      <c r="AB48" s="89"/>
      <c r="AC48" s="72"/>
      <c r="AD48" s="31"/>
      <c r="AE48" s="38"/>
      <c r="AF48" s="120"/>
      <c r="AG48" s="66"/>
      <c r="AH48" s="57"/>
    </row>
    <row r="49" spans="1:34" ht="15" thickBot="1" x14ac:dyDescent="0.25">
      <c r="A49" s="82" t="s">
        <v>30</v>
      </c>
      <c r="B49" s="35"/>
      <c r="C49" s="36"/>
      <c r="D49" s="37"/>
      <c r="E49" s="67"/>
      <c r="F49" s="39"/>
      <c r="G49" s="36"/>
      <c r="H49" s="37"/>
      <c r="I49" s="40">
        <f>J49-J50</f>
        <v>0</v>
      </c>
      <c r="J49" s="41"/>
      <c r="K49" s="42"/>
      <c r="L49" s="43"/>
      <c r="M49" s="83">
        <f>(MIN(J49,L49)-T44)</f>
        <v>0</v>
      </c>
      <c r="N49" s="35"/>
      <c r="O49" s="36"/>
      <c r="P49" s="44"/>
      <c r="Q49" s="45"/>
      <c r="R49" s="46"/>
      <c r="S49" s="47"/>
      <c r="T49" s="48"/>
      <c r="U49" s="56"/>
      <c r="V49" s="57"/>
      <c r="W49" s="90"/>
      <c r="X49" s="91"/>
      <c r="Y49" s="92"/>
      <c r="Z49" s="53">
        <f t="shared" si="3"/>
        <v>0</v>
      </c>
      <c r="AA49" s="78" t="s">
        <v>14</v>
      </c>
      <c r="AB49" s="93"/>
      <c r="AC49" s="80"/>
      <c r="AD49" s="81"/>
      <c r="AE49" s="38"/>
      <c r="AF49" s="121"/>
      <c r="AG49" s="66"/>
      <c r="AH49" s="57"/>
    </row>
    <row r="50" spans="1:34" ht="16.5" thickBot="1" x14ac:dyDescent="0.25">
      <c r="A50" s="82" t="s">
        <v>31</v>
      </c>
      <c r="B50" s="35"/>
      <c r="C50" s="36"/>
      <c r="D50" s="37"/>
      <c r="E50" s="67"/>
      <c r="F50" s="39"/>
      <c r="G50" s="36"/>
      <c r="H50" s="37"/>
      <c r="I50" s="40">
        <f>K49-K50</f>
        <v>0</v>
      </c>
      <c r="J50" s="41"/>
      <c r="K50" s="42"/>
      <c r="L50" s="43"/>
      <c r="M50" s="40">
        <f>(MIN(J50,L50)-T44)</f>
        <v>0</v>
      </c>
      <c r="N50" s="35"/>
      <c r="O50" s="36"/>
      <c r="P50" s="44"/>
      <c r="Q50" s="45"/>
      <c r="R50" s="46"/>
      <c r="S50" s="47"/>
      <c r="T50" s="48"/>
      <c r="U50" s="56"/>
      <c r="V50" s="57"/>
      <c r="W50" s="94"/>
      <c r="X50" s="94"/>
      <c r="Y50" s="94"/>
      <c r="Z50" s="53">
        <f t="shared" si="3"/>
        <v>0</v>
      </c>
      <c r="AA50" s="95" t="s">
        <v>29</v>
      </c>
      <c r="AB50" s="96"/>
      <c r="AC50" s="97"/>
      <c r="AD50" s="20"/>
      <c r="AE50" s="38"/>
      <c r="AF50" s="119" t="s">
        <v>32</v>
      </c>
      <c r="AG50" s="66"/>
      <c r="AH50" s="57"/>
    </row>
    <row r="51" spans="1:34" ht="15" thickBot="1" x14ac:dyDescent="0.25">
      <c r="A51" s="98" t="s">
        <v>19</v>
      </c>
      <c r="B51" s="79"/>
      <c r="C51" s="80"/>
      <c r="D51" s="99"/>
      <c r="E51" s="100"/>
      <c r="F51" s="93"/>
      <c r="G51" s="80"/>
      <c r="H51" s="99"/>
      <c r="I51" s="101">
        <f>L49-L50</f>
        <v>0</v>
      </c>
      <c r="J51" s="102"/>
      <c r="K51" s="103"/>
      <c r="L51" s="90"/>
      <c r="M51" s="101">
        <f>(MIN(J51,L51)-T44)</f>
        <v>0</v>
      </c>
      <c r="N51" s="79"/>
      <c r="O51" s="80"/>
      <c r="P51" s="81"/>
      <c r="Q51" s="104"/>
      <c r="R51" s="105"/>
      <c r="S51" s="106"/>
      <c r="T51" s="107"/>
      <c r="U51" s="108"/>
      <c r="V51" s="109"/>
      <c r="W51" s="110"/>
      <c r="X51" s="110"/>
      <c r="Y51" s="110"/>
      <c r="Z51" s="111">
        <f t="shared" si="3"/>
        <v>0</v>
      </c>
      <c r="AA51" s="78" t="s">
        <v>14</v>
      </c>
      <c r="AB51" s="93"/>
      <c r="AC51" s="80"/>
      <c r="AD51" s="81"/>
      <c r="AE51" s="112"/>
      <c r="AF51" s="121"/>
      <c r="AG51" s="113"/>
      <c r="AH51" s="109"/>
    </row>
  </sheetData>
  <mergeCells count="56">
    <mergeCell ref="AF41:AF42"/>
    <mergeCell ref="AF43:AF44"/>
    <mergeCell ref="AF45:AF46"/>
    <mergeCell ref="AA47:AD47"/>
    <mergeCell ref="AF47:AF49"/>
    <mergeCell ref="AF50:AF51"/>
    <mergeCell ref="AF37:AF38"/>
    <mergeCell ref="B40:D40"/>
    <mergeCell ref="F40:H40"/>
    <mergeCell ref="J40:L40"/>
    <mergeCell ref="N40:P40"/>
    <mergeCell ref="Q40:S40"/>
    <mergeCell ref="T40:V40"/>
    <mergeCell ref="W40:Y40"/>
    <mergeCell ref="AA40:AD40"/>
    <mergeCell ref="W27:Y27"/>
    <mergeCell ref="AA27:AD27"/>
    <mergeCell ref="AF28:AF29"/>
    <mergeCell ref="AF30:AF31"/>
    <mergeCell ref="AF32:AF33"/>
    <mergeCell ref="AA34:AD34"/>
    <mergeCell ref="AF34:AF36"/>
    <mergeCell ref="B27:D27"/>
    <mergeCell ref="F27:H27"/>
    <mergeCell ref="J27:L27"/>
    <mergeCell ref="N27:P27"/>
    <mergeCell ref="Q27:S27"/>
    <mergeCell ref="T27:V27"/>
    <mergeCell ref="AF15:AF16"/>
    <mergeCell ref="AF17:AF18"/>
    <mergeCell ref="AF19:AF20"/>
    <mergeCell ref="AA21:AD21"/>
    <mergeCell ref="AF21:AF23"/>
    <mergeCell ref="AF24:AF25"/>
    <mergeCell ref="AF11:AF12"/>
    <mergeCell ref="B14:D14"/>
    <mergeCell ref="F14:H14"/>
    <mergeCell ref="J14:L14"/>
    <mergeCell ref="N14:P14"/>
    <mergeCell ref="Q14:S14"/>
    <mergeCell ref="T14:V14"/>
    <mergeCell ref="W14:Y14"/>
    <mergeCell ref="AA14:AD14"/>
    <mergeCell ref="W1:Y1"/>
    <mergeCell ref="AA1:AD1"/>
    <mergeCell ref="AF2:AF3"/>
    <mergeCell ref="AF4:AF5"/>
    <mergeCell ref="AF6:AF7"/>
    <mergeCell ref="AA8:AD8"/>
    <mergeCell ref="AF8:AF10"/>
    <mergeCell ref="B1:D1"/>
    <mergeCell ref="F1:H1"/>
    <mergeCell ref="J1:L1"/>
    <mergeCell ref="N1:P1"/>
    <mergeCell ref="Q1:S1"/>
    <mergeCell ref="T1:V1"/>
  </mergeCells>
  <phoneticPr fontId="1" type="noConversion"/>
  <conditionalFormatting sqref="B2:B12">
    <cfRule type="top10" dxfId="643" priority="622" bottom="1" rank="1"/>
    <cfRule type="top10" dxfId="642" priority="623" rank="1"/>
  </conditionalFormatting>
  <conditionalFormatting sqref="B2:D2">
    <cfRule type="cellIs" dxfId="641" priority="557" operator="greaterThan">
      <formula>B4</formula>
    </cfRule>
  </conditionalFormatting>
  <conditionalFormatting sqref="B3:D3">
    <cfRule type="cellIs" dxfId="640" priority="558" operator="greaterThan">
      <formula>B4</formula>
    </cfRule>
  </conditionalFormatting>
  <conditionalFormatting sqref="B6:D6">
    <cfRule type="cellIs" dxfId="639" priority="559" operator="greaterThan">
      <formula>B4</formula>
    </cfRule>
  </conditionalFormatting>
  <conditionalFormatting sqref="B7:D7">
    <cfRule type="cellIs" dxfId="638" priority="560" operator="greaterThan">
      <formula>B4</formula>
    </cfRule>
  </conditionalFormatting>
  <conditionalFormatting sqref="B8:D8">
    <cfRule type="cellIs" dxfId="637" priority="561" operator="greaterThan">
      <formula>B4</formula>
    </cfRule>
  </conditionalFormatting>
  <conditionalFormatting sqref="B9:D9">
    <cfRule type="cellIs" dxfId="636" priority="563" operator="greaterThan">
      <formula>B4</formula>
    </cfRule>
  </conditionalFormatting>
  <conditionalFormatting sqref="B10:D10">
    <cfRule type="cellIs" dxfId="635" priority="562" operator="greaterThan">
      <formula>B4</formula>
    </cfRule>
  </conditionalFormatting>
  <conditionalFormatting sqref="C2:C12">
    <cfRule type="top10" dxfId="634" priority="566" bottom="1" rank="1"/>
    <cfRule type="top10" dxfId="633" priority="567" rank="1"/>
  </conditionalFormatting>
  <conditionalFormatting sqref="D2:D12">
    <cfRule type="top10" dxfId="632" priority="564" bottom="1" rank="1"/>
    <cfRule type="top10" dxfId="631" priority="565" rank="1"/>
  </conditionalFormatting>
  <conditionalFormatting sqref="E2:E4">
    <cfRule type="top10" dxfId="630" priority="497" bottom="1" rank="1"/>
    <cfRule type="top10" dxfId="629" priority="498" rank="1"/>
  </conditionalFormatting>
  <conditionalFormatting sqref="E6:E8">
    <cfRule type="top10" dxfId="628" priority="495" bottom="1" rank="1"/>
    <cfRule type="top10" dxfId="627" priority="496" rank="1"/>
  </conditionalFormatting>
  <conditionalFormatting sqref="E10:E12">
    <cfRule type="top10" dxfId="626" priority="493" bottom="1" rank="1"/>
    <cfRule type="top10" dxfId="625" priority="494" rank="1"/>
  </conditionalFormatting>
  <conditionalFormatting sqref="F2:F12">
    <cfRule type="top10" dxfId="624" priority="555" bottom="1" rank="1"/>
    <cfRule type="top10" dxfId="623" priority="556" rank="1"/>
  </conditionalFormatting>
  <conditionalFormatting sqref="F2:H2">
    <cfRule type="cellIs" dxfId="622" priority="544" operator="greaterThan">
      <formula>F4</formula>
    </cfRule>
  </conditionalFormatting>
  <conditionalFormatting sqref="F3:H3">
    <cfRule type="cellIs" dxfId="621" priority="545" operator="greaterThan">
      <formula>F4</formula>
    </cfRule>
  </conditionalFormatting>
  <conditionalFormatting sqref="F6:H6">
    <cfRule type="cellIs" dxfId="620" priority="546" operator="greaterThan">
      <formula>F4</formula>
    </cfRule>
  </conditionalFormatting>
  <conditionalFormatting sqref="F7:H7">
    <cfRule type="cellIs" dxfId="619" priority="547" operator="greaterThan">
      <formula>F4</formula>
    </cfRule>
  </conditionalFormatting>
  <conditionalFormatting sqref="F8:H8">
    <cfRule type="cellIs" dxfId="618" priority="548" operator="greaterThan">
      <formula>F4</formula>
    </cfRule>
  </conditionalFormatting>
  <conditionalFormatting sqref="F9:H9">
    <cfRule type="cellIs" dxfId="617" priority="550" operator="greaterThan">
      <formula>F4</formula>
    </cfRule>
  </conditionalFormatting>
  <conditionalFormatting sqref="F10:H10">
    <cfRule type="cellIs" dxfId="616" priority="549" operator="greaterThan">
      <formula>F4</formula>
    </cfRule>
  </conditionalFormatting>
  <conditionalFormatting sqref="G2:G12">
    <cfRule type="top10" dxfId="615" priority="553" bottom="1" rank="1"/>
    <cfRule type="top10" dxfId="614" priority="554" rank="1"/>
  </conditionalFormatting>
  <conditionalFormatting sqref="H2:H12">
    <cfRule type="top10" dxfId="613" priority="551" bottom="1" rank="1"/>
    <cfRule type="top10" dxfId="612" priority="552" rank="1"/>
  </conditionalFormatting>
  <conditionalFormatting sqref="I2:I4">
    <cfRule type="top10" dxfId="611" priority="491" bottom="1" rank="1"/>
    <cfRule type="top10" dxfId="610" priority="492" rank="1"/>
  </conditionalFormatting>
  <conditionalFormatting sqref="I6:I8">
    <cfRule type="top10" dxfId="609" priority="489" bottom="1" rank="1"/>
    <cfRule type="top10" dxfId="608" priority="490" rank="1"/>
  </conditionalFormatting>
  <conditionalFormatting sqref="I10:I12">
    <cfRule type="top10" dxfId="607" priority="487" bottom="1" rank="1"/>
    <cfRule type="top10" dxfId="606" priority="488" rank="1"/>
  </conditionalFormatting>
  <conditionalFormatting sqref="J2:J12">
    <cfRule type="top10" dxfId="605" priority="503" bottom="1" rank="1"/>
    <cfRule type="top10" dxfId="604" priority="504" rank="1"/>
  </conditionalFormatting>
  <conditionalFormatting sqref="J1:L1">
    <cfRule type="top10" dxfId="603" priority="505" bottom="1" rank="1"/>
    <cfRule type="top10" dxfId="602" priority="506" rank="1"/>
  </conditionalFormatting>
  <conditionalFormatting sqref="J4:L4">
    <cfRule type="cellIs" dxfId="601" priority="484" operator="greaterThan">
      <formula>J11</formula>
    </cfRule>
  </conditionalFormatting>
  <conditionalFormatting sqref="J8:L8">
    <cfRule type="cellIs" dxfId="600" priority="486" operator="greaterThan">
      <formula>J10</formula>
    </cfRule>
  </conditionalFormatting>
  <conditionalFormatting sqref="J10:L10">
    <cfRule type="cellIs" dxfId="599" priority="485" operator="greaterThan">
      <formula>J11</formula>
    </cfRule>
  </conditionalFormatting>
  <conditionalFormatting sqref="K2:K12">
    <cfRule type="top10" dxfId="598" priority="501" bottom="1" rank="1"/>
    <cfRule type="top10" dxfId="597" priority="502" rank="1"/>
  </conditionalFormatting>
  <conditionalFormatting sqref="L2:L12">
    <cfRule type="top10" dxfId="596" priority="499" bottom="1" rank="1"/>
    <cfRule type="top10" dxfId="595" priority="500" rank="1"/>
  </conditionalFormatting>
  <conditionalFormatting sqref="M2:M12">
    <cfRule type="cellIs" dxfId="594" priority="620" operator="lessThan">
      <formula>0</formula>
    </cfRule>
    <cfRule type="cellIs" dxfId="593" priority="621" operator="greaterThan">
      <formula>0</formula>
    </cfRule>
  </conditionalFormatting>
  <conditionalFormatting sqref="N2:N12">
    <cfRule type="top10" dxfId="592" priority="614" bottom="1" rank="1"/>
    <cfRule type="top10" dxfId="591" priority="615" rank="1"/>
  </conditionalFormatting>
  <conditionalFormatting sqref="N9">
    <cfRule type="cellIs" dxfId="590" priority="618" stopIfTrue="1" operator="lessThan">
      <formula>N2</formula>
    </cfRule>
    <cfRule type="cellIs" dxfId="589" priority="619" operator="greaterThan">
      <formula>N2</formula>
    </cfRule>
  </conditionalFormatting>
  <conditionalFormatting sqref="N10">
    <cfRule type="cellIs" dxfId="588" priority="616" stopIfTrue="1" operator="lessThan">
      <formula>N2</formula>
    </cfRule>
    <cfRule type="cellIs" dxfId="587" priority="617" stopIfTrue="1" operator="greaterThan">
      <formula>N2</formula>
    </cfRule>
  </conditionalFormatting>
  <conditionalFormatting sqref="N1:P1">
    <cfRule type="top10" dxfId="586" priority="540" bottom="1" rank="1"/>
    <cfRule type="top10" dxfId="585" priority="541" rank="1"/>
  </conditionalFormatting>
  <conditionalFormatting sqref="N8:P8">
    <cfRule type="top10" dxfId="584" priority="578" bottom="1" rank="1"/>
    <cfRule type="top10" dxfId="583" priority="579" rank="1"/>
    <cfRule type="cellIs" dxfId="582" priority="606" operator="lessThan">
      <formula>N2</formula>
    </cfRule>
    <cfRule type="cellIs" dxfId="581" priority="607" operator="greaterThan">
      <formula>N2</formula>
    </cfRule>
  </conditionalFormatting>
  <conditionalFormatting sqref="N9:P9">
    <cfRule type="top10" dxfId="580" priority="576" bottom="1" rank="1"/>
    <cfRule type="top10" dxfId="579" priority="577" rank="1"/>
  </conditionalFormatting>
  <conditionalFormatting sqref="N10:P10">
    <cfRule type="top10" dxfId="578" priority="574" bottom="1" rank="1"/>
    <cfRule type="top10" dxfId="577" priority="575" rank="1"/>
  </conditionalFormatting>
  <conditionalFormatting sqref="O2:O12">
    <cfRule type="top10" dxfId="576" priority="608" bottom="1" rank="1"/>
    <cfRule type="top10" dxfId="575" priority="609" rank="1"/>
  </conditionalFormatting>
  <conditionalFormatting sqref="O9">
    <cfRule type="cellIs" dxfId="574" priority="612" stopIfTrue="1" operator="lessThan">
      <formula>O2</formula>
    </cfRule>
    <cfRule type="cellIs" dxfId="573" priority="613" operator="greaterThan">
      <formula>O2</formula>
    </cfRule>
  </conditionalFormatting>
  <conditionalFormatting sqref="O10">
    <cfRule type="cellIs" dxfId="572" priority="610" stopIfTrue="1" operator="lessThan">
      <formula>O2</formula>
    </cfRule>
    <cfRule type="cellIs" dxfId="571" priority="611" stopIfTrue="1" operator="greaterThan">
      <formula>O2</formula>
    </cfRule>
  </conditionalFormatting>
  <conditionalFormatting sqref="P2:P12">
    <cfRule type="top10" dxfId="570" priority="600" bottom="1" rank="1"/>
    <cfRule type="top10" dxfId="569" priority="601" rank="1"/>
  </conditionalFormatting>
  <conditionalFormatting sqref="P9">
    <cfRule type="cellIs" dxfId="568" priority="604" stopIfTrue="1" operator="lessThan">
      <formula>P2</formula>
    </cfRule>
    <cfRule type="cellIs" dxfId="567" priority="605" operator="greaterThan">
      <formula>P2</formula>
    </cfRule>
  </conditionalFormatting>
  <conditionalFormatting sqref="P10">
    <cfRule type="cellIs" dxfId="566" priority="602" stopIfTrue="1" operator="lessThan">
      <formula>P2</formula>
    </cfRule>
    <cfRule type="cellIs" dxfId="565" priority="603" stopIfTrue="1" operator="greaterThan">
      <formula>P2</formula>
    </cfRule>
  </conditionalFormatting>
  <conditionalFormatting sqref="R2:R12">
    <cfRule type="top10" dxfId="564" priority="594" bottom="1" rank="1"/>
    <cfRule type="top10" dxfId="563" priority="595" rank="1"/>
  </conditionalFormatting>
  <conditionalFormatting sqref="R9">
    <cfRule type="cellIs" dxfId="562" priority="598" stopIfTrue="1" operator="lessThan">
      <formula>R2</formula>
    </cfRule>
    <cfRule type="cellIs" dxfId="561" priority="599" operator="greaterThan">
      <formula>R2</formula>
    </cfRule>
  </conditionalFormatting>
  <conditionalFormatting sqref="R10">
    <cfRule type="cellIs" dxfId="560" priority="596" stopIfTrue="1" operator="lessThan">
      <formula>R2</formula>
    </cfRule>
    <cfRule type="cellIs" dxfId="559" priority="597" stopIfTrue="1" operator="greaterThan">
      <formula>R2</formula>
    </cfRule>
  </conditionalFormatting>
  <conditionalFormatting sqref="R1:T1">
    <cfRule type="top10" dxfId="558" priority="518" bottom="1" rank="1"/>
    <cfRule type="top10" dxfId="557" priority="519" rank="1"/>
  </conditionalFormatting>
  <conditionalFormatting sqref="R8:T8">
    <cfRule type="top10" dxfId="556" priority="572" bottom="1" rank="1"/>
    <cfRule type="top10" dxfId="555" priority="573" rank="1"/>
    <cfRule type="cellIs" dxfId="554" priority="586" operator="lessThan">
      <formula>R2</formula>
    </cfRule>
    <cfRule type="cellIs" dxfId="553" priority="587" operator="greaterThan">
      <formula>R2</formula>
    </cfRule>
  </conditionalFormatting>
  <conditionalFormatting sqref="R9:T9">
    <cfRule type="top10" dxfId="552" priority="570" bottom="1" rank="1"/>
    <cfRule type="top10" dxfId="551" priority="571" rank="1"/>
  </conditionalFormatting>
  <conditionalFormatting sqref="R10:T10">
    <cfRule type="top10" dxfId="550" priority="568" bottom="1" rank="1"/>
    <cfRule type="top10" dxfId="549" priority="569" rank="1"/>
  </conditionalFormatting>
  <conditionalFormatting sqref="S2:S12">
    <cfRule type="top10" dxfId="548" priority="588" bottom="1" rank="1"/>
    <cfRule type="top10" dxfId="547" priority="589" rank="1"/>
  </conditionalFormatting>
  <conditionalFormatting sqref="S9">
    <cfRule type="cellIs" dxfId="546" priority="592" stopIfTrue="1" operator="lessThan">
      <formula>S2</formula>
    </cfRule>
    <cfRule type="cellIs" dxfId="545" priority="593" operator="greaterThan">
      <formula>S2</formula>
    </cfRule>
  </conditionalFormatting>
  <conditionalFormatting sqref="S10">
    <cfRule type="cellIs" dxfId="544" priority="590" stopIfTrue="1" operator="lessThan">
      <formula>S2</formula>
    </cfRule>
    <cfRule type="cellIs" dxfId="543" priority="591" stopIfTrue="1" operator="greaterThan">
      <formula>S2</formula>
    </cfRule>
  </conditionalFormatting>
  <conditionalFormatting sqref="T2:T12">
    <cfRule type="top10" dxfId="542" priority="580" bottom="1" rank="1"/>
    <cfRule type="top10" dxfId="541" priority="581" rank="1"/>
  </conditionalFormatting>
  <conditionalFormatting sqref="T9">
    <cfRule type="cellIs" dxfId="540" priority="584" stopIfTrue="1" operator="lessThan">
      <formula>T2</formula>
    </cfRule>
    <cfRule type="cellIs" dxfId="539" priority="585" operator="greaterThan">
      <formula>T2</formula>
    </cfRule>
  </conditionalFormatting>
  <conditionalFormatting sqref="T10">
    <cfRule type="cellIs" dxfId="538" priority="582" stopIfTrue="1" operator="lessThan">
      <formula>T2</formula>
    </cfRule>
    <cfRule type="cellIs" dxfId="537" priority="583" stopIfTrue="1" operator="greaterThan">
      <formula>T2</formula>
    </cfRule>
  </conditionalFormatting>
  <conditionalFormatting sqref="V7:V11">
    <cfRule type="top10" dxfId="536" priority="512" bottom="1" rank="1"/>
    <cfRule type="top10" dxfId="535" priority="513" rank="1"/>
  </conditionalFormatting>
  <conditionalFormatting sqref="V1:X1">
    <cfRule type="top10" dxfId="534" priority="516" bottom="1" rank="1"/>
    <cfRule type="top10" dxfId="533" priority="517" rank="1"/>
  </conditionalFormatting>
  <conditionalFormatting sqref="V8:X8">
    <cfRule type="cellIs" dxfId="532" priority="507" operator="greaterThan">
      <formula>V9</formula>
    </cfRule>
  </conditionalFormatting>
  <conditionalFormatting sqref="W7:W11">
    <cfRule type="top10" dxfId="531" priority="510" bottom="1" rank="1"/>
    <cfRule type="top10" dxfId="530" priority="511" rank="1"/>
  </conditionalFormatting>
  <conditionalFormatting sqref="X7:X11">
    <cfRule type="top10" dxfId="529" priority="508" bottom="1" rank="1"/>
    <cfRule type="top10" dxfId="528" priority="509" rank="1"/>
  </conditionalFormatting>
  <conditionalFormatting sqref="Z6:Z7">
    <cfRule type="cellIs" dxfId="527" priority="643" operator="lessThan">
      <formula>Z2</formula>
    </cfRule>
    <cfRule type="cellIs" dxfId="526" priority="644" operator="greaterThan">
      <formula>Z2</formula>
    </cfRule>
  </conditionalFormatting>
  <conditionalFormatting sqref="Z9:Z10">
    <cfRule type="top10" dxfId="525" priority="530" bottom="1" rank="1"/>
    <cfRule type="top10" dxfId="524" priority="531" rank="1"/>
  </conditionalFormatting>
  <conditionalFormatting sqref="Z11:Z12">
    <cfRule type="top10" dxfId="523" priority="524" bottom="1" rank="1"/>
    <cfRule type="top10" dxfId="522" priority="525" rank="1"/>
  </conditionalFormatting>
  <conditionalFormatting sqref="Z9:AB10">
    <cfRule type="cellIs" dxfId="521" priority="532" operator="lessThan">
      <formula>Z11</formula>
    </cfRule>
    <cfRule type="cellIs" dxfId="520" priority="533" operator="greaterThan">
      <formula>Z11</formula>
    </cfRule>
  </conditionalFormatting>
  <conditionalFormatting sqref="AA9:AA10">
    <cfRule type="top10" dxfId="519" priority="528" bottom="1" rank="1"/>
    <cfRule type="top10" dxfId="518" priority="529" rank="1"/>
  </conditionalFormatting>
  <conditionalFormatting sqref="AA11:AA12">
    <cfRule type="top10" dxfId="517" priority="522" bottom="1" rank="1"/>
    <cfRule type="top10" dxfId="516" priority="523" rank="1"/>
  </conditionalFormatting>
  <conditionalFormatting sqref="AB6:AB7">
    <cfRule type="cellIs" dxfId="515" priority="641" operator="lessThan">
      <formula>AB2</formula>
    </cfRule>
    <cfRule type="cellIs" dxfId="514" priority="642" operator="greaterThan">
      <formula>AB2</formula>
    </cfRule>
  </conditionalFormatting>
  <conditionalFormatting sqref="AB9:AB10">
    <cfRule type="top10" dxfId="513" priority="526" bottom="1" rank="1"/>
    <cfRule type="top10" dxfId="512" priority="527" rank="1"/>
  </conditionalFormatting>
  <conditionalFormatting sqref="AB11:AB12">
    <cfRule type="top10" dxfId="511" priority="520" bottom="1" rank="1"/>
    <cfRule type="top10" dxfId="510" priority="521" rank="1"/>
  </conditionalFormatting>
  <conditionalFormatting sqref="AC5:AC7">
    <cfRule type="cellIs" dxfId="509" priority="542" operator="lessThan">
      <formula>AC2</formula>
    </cfRule>
    <cfRule type="cellIs" dxfId="508" priority="543" operator="greaterThan">
      <formula>AC2</formula>
    </cfRule>
  </conditionalFormatting>
  <conditionalFormatting sqref="AC10:AC12">
    <cfRule type="top10" dxfId="507" priority="514" rank="1"/>
    <cfRule type="top10" dxfId="506" priority="515" bottom="1" rank="1"/>
  </conditionalFormatting>
  <conditionalFormatting sqref="AE1:AG1">
    <cfRule type="top10" dxfId="505" priority="538" bottom="1" rank="1"/>
    <cfRule type="top10" dxfId="504" priority="539" rank="1"/>
  </conditionalFormatting>
  <conditionalFormatting sqref="AE2:AG2">
    <cfRule type="top10" dxfId="503" priority="536" bottom="1" rank="1"/>
    <cfRule type="top10" dxfId="502" priority="537" rank="1"/>
  </conditionalFormatting>
  <conditionalFormatting sqref="AE3:AG3">
    <cfRule type="top10" dxfId="501" priority="534" bottom="1" rank="1"/>
    <cfRule type="top10" dxfId="500" priority="535" rank="1"/>
  </conditionalFormatting>
  <conditionalFormatting sqref="AE4:AG4">
    <cfRule type="cellIs" dxfId="499" priority="637" operator="lessThan">
      <formula>AE2</formula>
    </cfRule>
    <cfRule type="cellIs" dxfId="498" priority="638" operator="greaterThan">
      <formula>AE2</formula>
    </cfRule>
  </conditionalFormatting>
  <conditionalFormatting sqref="AE5:AG5">
    <cfRule type="top10" dxfId="497" priority="639" bottom="1" rank="1"/>
    <cfRule type="top10" dxfId="496" priority="640" rank="1"/>
  </conditionalFormatting>
  <conditionalFormatting sqref="AE7:AG7">
    <cfRule type="top10" dxfId="495" priority="635" bottom="1" rank="1"/>
    <cfRule type="top10" dxfId="494" priority="636" rank="1"/>
  </conditionalFormatting>
  <conditionalFormatting sqref="AE8:AG8">
    <cfRule type="cellIs" dxfId="493" priority="631" operator="lessThan">
      <formula>AE7</formula>
    </cfRule>
    <cfRule type="cellIs" dxfId="492" priority="632" operator="greaterThan">
      <formula>AE7</formula>
    </cfRule>
  </conditionalFormatting>
  <conditionalFormatting sqref="AE9:AG9">
    <cfRule type="cellIs" dxfId="491" priority="629" operator="lessThan">
      <formula>AE7</formula>
    </cfRule>
    <cfRule type="cellIs" dxfId="490" priority="630" operator="greaterThan">
      <formula>AE7</formula>
    </cfRule>
  </conditionalFormatting>
  <conditionalFormatting sqref="AE10:AG10">
    <cfRule type="top10" dxfId="489" priority="633" bottom="1" rank="1"/>
    <cfRule type="top10" dxfId="488" priority="634" rank="1"/>
  </conditionalFormatting>
  <conditionalFormatting sqref="AE11:AG11">
    <cfRule type="cellIs" dxfId="487" priority="627" operator="lessThan">
      <formula>0</formula>
    </cfRule>
    <cfRule type="cellIs" dxfId="486" priority="628" operator="greaterThan">
      <formula>0</formula>
    </cfRule>
  </conditionalFormatting>
  <conditionalFormatting sqref="AE12:AG12">
    <cfRule type="top10" dxfId="485" priority="624" bottom="1" rank="1"/>
    <cfRule type="cellIs" dxfId="484" priority="625" operator="greaterThan">
      <formula>0</formula>
    </cfRule>
    <cfRule type="cellIs" dxfId="483" priority="626" operator="lessThan">
      <formula>0</formula>
    </cfRule>
  </conditionalFormatting>
  <conditionalFormatting sqref="B15:B25">
    <cfRule type="top10" dxfId="482" priority="461" bottom="1" rank="1"/>
    <cfRule type="top10" dxfId="481" priority="462" rank="1"/>
  </conditionalFormatting>
  <conditionalFormatting sqref="B15:D15">
    <cfRule type="cellIs" dxfId="480" priority="396" operator="greaterThan">
      <formula>B17</formula>
    </cfRule>
  </conditionalFormatting>
  <conditionalFormatting sqref="B16:D16">
    <cfRule type="cellIs" dxfId="479" priority="397" operator="greaterThan">
      <formula>B17</formula>
    </cfRule>
  </conditionalFormatting>
  <conditionalFormatting sqref="B19:D19">
    <cfRule type="cellIs" dxfId="478" priority="398" operator="greaterThan">
      <formula>B17</formula>
    </cfRule>
  </conditionalFormatting>
  <conditionalFormatting sqref="B20:D20">
    <cfRule type="cellIs" dxfId="477" priority="399" operator="greaterThan">
      <formula>B17</formula>
    </cfRule>
  </conditionalFormatting>
  <conditionalFormatting sqref="B21:D21">
    <cfRule type="cellIs" dxfId="476" priority="400" operator="greaterThan">
      <formula>B17</formula>
    </cfRule>
  </conditionalFormatting>
  <conditionalFormatting sqref="B22:D22">
    <cfRule type="cellIs" dxfId="475" priority="402" operator="greaterThan">
      <formula>B17</formula>
    </cfRule>
  </conditionalFormatting>
  <conditionalFormatting sqref="B23:D23">
    <cfRule type="cellIs" dxfId="474" priority="401" operator="greaterThan">
      <formula>B17</formula>
    </cfRule>
  </conditionalFormatting>
  <conditionalFormatting sqref="C15:C25">
    <cfRule type="top10" dxfId="473" priority="405" bottom="1" rank="1"/>
    <cfRule type="top10" dxfId="472" priority="406" rank="1"/>
  </conditionalFormatting>
  <conditionalFormatting sqref="D15:D25">
    <cfRule type="top10" dxfId="471" priority="403" bottom="1" rank="1"/>
    <cfRule type="top10" dxfId="470" priority="404" rank="1"/>
  </conditionalFormatting>
  <conditionalFormatting sqref="E15:E17">
    <cfRule type="top10" dxfId="469" priority="336" bottom="1" rank="1"/>
    <cfRule type="top10" dxfId="468" priority="337" rank="1"/>
  </conditionalFormatting>
  <conditionalFormatting sqref="E19:E21">
    <cfRule type="top10" dxfId="467" priority="334" bottom="1" rank="1"/>
    <cfRule type="top10" dxfId="466" priority="335" rank="1"/>
  </conditionalFormatting>
  <conditionalFormatting sqref="E23:E25">
    <cfRule type="top10" dxfId="465" priority="332" bottom="1" rank="1"/>
    <cfRule type="top10" dxfId="464" priority="333" rank="1"/>
  </conditionalFormatting>
  <conditionalFormatting sqref="F15:F25">
    <cfRule type="top10" dxfId="463" priority="394" bottom="1" rank="1"/>
    <cfRule type="top10" dxfId="462" priority="395" rank="1"/>
  </conditionalFormatting>
  <conditionalFormatting sqref="F15:H15">
    <cfRule type="cellIs" dxfId="461" priority="383" operator="greaterThan">
      <formula>F17</formula>
    </cfRule>
  </conditionalFormatting>
  <conditionalFormatting sqref="F16:H16">
    <cfRule type="cellIs" dxfId="460" priority="384" operator="greaterThan">
      <formula>F17</formula>
    </cfRule>
  </conditionalFormatting>
  <conditionalFormatting sqref="F19:H19">
    <cfRule type="cellIs" dxfId="459" priority="385" operator="greaterThan">
      <formula>F17</formula>
    </cfRule>
  </conditionalFormatting>
  <conditionalFormatting sqref="F20:H20">
    <cfRule type="cellIs" dxfId="458" priority="386" operator="greaterThan">
      <formula>F17</formula>
    </cfRule>
  </conditionalFormatting>
  <conditionalFormatting sqref="F21:H21">
    <cfRule type="cellIs" dxfId="457" priority="387" operator="greaterThan">
      <formula>F17</formula>
    </cfRule>
  </conditionalFormatting>
  <conditionalFormatting sqref="F22:H22">
    <cfRule type="cellIs" dxfId="456" priority="389" operator="greaterThan">
      <formula>F17</formula>
    </cfRule>
  </conditionalFormatting>
  <conditionalFormatting sqref="F23:H23">
    <cfRule type="cellIs" dxfId="455" priority="388" operator="greaterThan">
      <formula>F17</formula>
    </cfRule>
  </conditionalFormatting>
  <conditionalFormatting sqref="G15:G25">
    <cfRule type="top10" dxfId="454" priority="392" bottom="1" rank="1"/>
    <cfRule type="top10" dxfId="453" priority="393" rank="1"/>
  </conditionalFormatting>
  <conditionalFormatting sqref="H15:H25">
    <cfRule type="top10" dxfId="452" priority="390" bottom="1" rank="1"/>
    <cfRule type="top10" dxfId="451" priority="391" rank="1"/>
  </conditionalFormatting>
  <conditionalFormatting sqref="I15:I17">
    <cfRule type="top10" dxfId="450" priority="330" bottom="1" rank="1"/>
    <cfRule type="top10" dxfId="449" priority="331" rank="1"/>
  </conditionalFormatting>
  <conditionalFormatting sqref="I19:I21">
    <cfRule type="top10" dxfId="448" priority="328" bottom="1" rank="1"/>
    <cfRule type="top10" dxfId="447" priority="329" rank="1"/>
  </conditionalFormatting>
  <conditionalFormatting sqref="I23:I25">
    <cfRule type="top10" dxfId="446" priority="326" bottom="1" rank="1"/>
    <cfRule type="top10" dxfId="445" priority="327" rank="1"/>
  </conditionalFormatting>
  <conditionalFormatting sqref="J15:J25">
    <cfRule type="top10" dxfId="444" priority="342" bottom="1" rank="1"/>
    <cfRule type="top10" dxfId="443" priority="343" rank="1"/>
  </conditionalFormatting>
  <conditionalFormatting sqref="J14:L14">
    <cfRule type="top10" dxfId="442" priority="344" bottom="1" rank="1"/>
    <cfRule type="top10" dxfId="441" priority="345" rank="1"/>
  </conditionalFormatting>
  <conditionalFormatting sqref="J17:L17">
    <cfRule type="cellIs" dxfId="440" priority="323" operator="greaterThan">
      <formula>J24</formula>
    </cfRule>
  </conditionalFormatting>
  <conditionalFormatting sqref="J21:L21">
    <cfRule type="cellIs" dxfId="439" priority="325" operator="greaterThan">
      <formula>J23</formula>
    </cfRule>
  </conditionalFormatting>
  <conditionalFormatting sqref="J23:L23">
    <cfRule type="cellIs" dxfId="438" priority="324" operator="greaterThan">
      <formula>J24</formula>
    </cfRule>
  </conditionalFormatting>
  <conditionalFormatting sqref="K15:K25">
    <cfRule type="top10" dxfId="437" priority="340" bottom="1" rank="1"/>
    <cfRule type="top10" dxfId="436" priority="341" rank="1"/>
  </conditionalFormatting>
  <conditionalFormatting sqref="L15:L25">
    <cfRule type="top10" dxfId="435" priority="338" bottom="1" rank="1"/>
    <cfRule type="top10" dxfId="434" priority="339" rank="1"/>
  </conditionalFormatting>
  <conditionalFormatting sqref="M15:M25">
    <cfRule type="cellIs" dxfId="433" priority="459" operator="lessThan">
      <formula>0</formula>
    </cfRule>
    <cfRule type="cellIs" dxfId="432" priority="460" operator="greaterThan">
      <formula>0</formula>
    </cfRule>
  </conditionalFormatting>
  <conditionalFormatting sqref="N15:N25">
    <cfRule type="top10" dxfId="431" priority="453" bottom="1" rank="1"/>
    <cfRule type="top10" dxfId="430" priority="454" rank="1"/>
  </conditionalFormatting>
  <conditionalFormatting sqref="N22">
    <cfRule type="cellIs" dxfId="429" priority="457" stopIfTrue="1" operator="lessThan">
      <formula>N15</formula>
    </cfRule>
    <cfRule type="cellIs" dxfId="428" priority="458" operator="greaterThan">
      <formula>N15</formula>
    </cfRule>
  </conditionalFormatting>
  <conditionalFormatting sqref="N23">
    <cfRule type="cellIs" dxfId="427" priority="455" stopIfTrue="1" operator="lessThan">
      <formula>N15</formula>
    </cfRule>
    <cfRule type="cellIs" dxfId="426" priority="456" stopIfTrue="1" operator="greaterThan">
      <formula>N15</formula>
    </cfRule>
  </conditionalFormatting>
  <conditionalFormatting sqref="N14:P14">
    <cfRule type="top10" dxfId="425" priority="379" bottom="1" rank="1"/>
    <cfRule type="top10" dxfId="424" priority="380" rank="1"/>
  </conditionalFormatting>
  <conditionalFormatting sqref="N21:P21">
    <cfRule type="top10" dxfId="423" priority="417" bottom="1" rank="1"/>
    <cfRule type="top10" dxfId="422" priority="418" rank="1"/>
    <cfRule type="cellIs" dxfId="421" priority="445" operator="lessThan">
      <formula>N15</formula>
    </cfRule>
    <cfRule type="cellIs" dxfId="420" priority="446" operator="greaterThan">
      <formula>N15</formula>
    </cfRule>
  </conditionalFormatting>
  <conditionalFormatting sqref="N22:P22">
    <cfRule type="top10" dxfId="419" priority="415" bottom="1" rank="1"/>
    <cfRule type="top10" dxfId="418" priority="416" rank="1"/>
  </conditionalFormatting>
  <conditionalFormatting sqref="N23:P23">
    <cfRule type="top10" dxfId="417" priority="413" bottom="1" rank="1"/>
    <cfRule type="top10" dxfId="416" priority="414" rank="1"/>
  </conditionalFormatting>
  <conditionalFormatting sqref="O15:O25">
    <cfRule type="top10" dxfId="415" priority="447" bottom="1" rank="1"/>
    <cfRule type="top10" dxfId="414" priority="448" rank="1"/>
  </conditionalFormatting>
  <conditionalFormatting sqref="O22">
    <cfRule type="cellIs" dxfId="413" priority="451" stopIfTrue="1" operator="lessThan">
      <formula>O15</formula>
    </cfRule>
    <cfRule type="cellIs" dxfId="412" priority="452" operator="greaterThan">
      <formula>O15</formula>
    </cfRule>
  </conditionalFormatting>
  <conditionalFormatting sqref="O23">
    <cfRule type="cellIs" dxfId="411" priority="449" stopIfTrue="1" operator="lessThan">
      <formula>O15</formula>
    </cfRule>
    <cfRule type="cellIs" dxfId="410" priority="450" stopIfTrue="1" operator="greaterThan">
      <formula>O15</formula>
    </cfRule>
  </conditionalFormatting>
  <conditionalFormatting sqref="P15:P25">
    <cfRule type="top10" dxfId="409" priority="439" bottom="1" rank="1"/>
    <cfRule type="top10" dxfId="408" priority="440" rank="1"/>
  </conditionalFormatting>
  <conditionalFormatting sqref="P22">
    <cfRule type="cellIs" dxfId="407" priority="443" stopIfTrue="1" operator="lessThan">
      <formula>P15</formula>
    </cfRule>
    <cfRule type="cellIs" dxfId="406" priority="444" operator="greaterThan">
      <formula>P15</formula>
    </cfRule>
  </conditionalFormatting>
  <conditionalFormatting sqref="P23">
    <cfRule type="cellIs" dxfId="405" priority="441" stopIfTrue="1" operator="lessThan">
      <formula>P15</formula>
    </cfRule>
    <cfRule type="cellIs" dxfId="404" priority="442" stopIfTrue="1" operator="greaterThan">
      <formula>P15</formula>
    </cfRule>
  </conditionalFormatting>
  <conditionalFormatting sqref="R15:R25">
    <cfRule type="top10" dxfId="403" priority="433" bottom="1" rank="1"/>
    <cfRule type="top10" dxfId="402" priority="434" rank="1"/>
  </conditionalFormatting>
  <conditionalFormatting sqref="R22">
    <cfRule type="cellIs" dxfId="401" priority="437" stopIfTrue="1" operator="lessThan">
      <formula>R15</formula>
    </cfRule>
    <cfRule type="cellIs" dxfId="400" priority="438" operator="greaterThan">
      <formula>R15</formula>
    </cfRule>
  </conditionalFormatting>
  <conditionalFormatting sqref="R23">
    <cfRule type="cellIs" dxfId="399" priority="435" stopIfTrue="1" operator="lessThan">
      <formula>R15</formula>
    </cfRule>
    <cfRule type="cellIs" dxfId="398" priority="436" stopIfTrue="1" operator="greaterThan">
      <formula>R15</formula>
    </cfRule>
  </conditionalFormatting>
  <conditionalFormatting sqref="R14:T14">
    <cfRule type="top10" dxfId="397" priority="357" bottom="1" rank="1"/>
    <cfRule type="top10" dxfId="396" priority="358" rank="1"/>
  </conditionalFormatting>
  <conditionalFormatting sqref="R21:T21">
    <cfRule type="top10" dxfId="395" priority="411" bottom="1" rank="1"/>
    <cfRule type="top10" dxfId="394" priority="412" rank="1"/>
    <cfRule type="cellIs" dxfId="393" priority="425" operator="lessThan">
      <formula>R15</formula>
    </cfRule>
    <cfRule type="cellIs" dxfId="392" priority="426" operator="greaterThan">
      <formula>R15</formula>
    </cfRule>
  </conditionalFormatting>
  <conditionalFormatting sqref="R22:T22">
    <cfRule type="top10" dxfId="391" priority="409" bottom="1" rank="1"/>
    <cfRule type="top10" dxfId="390" priority="410" rank="1"/>
  </conditionalFormatting>
  <conditionalFormatting sqref="R23:T23">
    <cfRule type="top10" dxfId="389" priority="407" bottom="1" rank="1"/>
    <cfRule type="top10" dxfId="388" priority="408" rank="1"/>
  </conditionalFormatting>
  <conditionalFormatting sqref="S15:S25">
    <cfRule type="top10" dxfId="387" priority="427" bottom="1" rank="1"/>
    <cfRule type="top10" dxfId="386" priority="428" rank="1"/>
  </conditionalFormatting>
  <conditionalFormatting sqref="S22">
    <cfRule type="cellIs" dxfId="385" priority="431" stopIfTrue="1" operator="lessThan">
      <formula>S15</formula>
    </cfRule>
    <cfRule type="cellIs" dxfId="384" priority="432" operator="greaterThan">
      <formula>S15</formula>
    </cfRule>
  </conditionalFormatting>
  <conditionalFormatting sqref="S23">
    <cfRule type="cellIs" dxfId="383" priority="429" stopIfTrue="1" operator="lessThan">
      <formula>S15</formula>
    </cfRule>
    <cfRule type="cellIs" dxfId="382" priority="430" stopIfTrue="1" operator="greaterThan">
      <formula>S15</formula>
    </cfRule>
  </conditionalFormatting>
  <conditionalFormatting sqref="T15:T25">
    <cfRule type="top10" dxfId="381" priority="419" bottom="1" rank="1"/>
    <cfRule type="top10" dxfId="380" priority="420" rank="1"/>
  </conditionalFormatting>
  <conditionalFormatting sqref="T22">
    <cfRule type="cellIs" dxfId="379" priority="423" stopIfTrue="1" operator="lessThan">
      <formula>T15</formula>
    </cfRule>
    <cfRule type="cellIs" dxfId="378" priority="424" operator="greaterThan">
      <formula>T15</formula>
    </cfRule>
  </conditionalFormatting>
  <conditionalFormatting sqref="T23">
    <cfRule type="cellIs" dxfId="377" priority="421" stopIfTrue="1" operator="lessThan">
      <formula>T15</formula>
    </cfRule>
    <cfRule type="cellIs" dxfId="376" priority="422" stopIfTrue="1" operator="greaterThan">
      <formula>T15</formula>
    </cfRule>
  </conditionalFormatting>
  <conditionalFormatting sqref="V20:V24">
    <cfRule type="top10" dxfId="375" priority="351" bottom="1" rank="1"/>
    <cfRule type="top10" dxfId="374" priority="352" rank="1"/>
  </conditionalFormatting>
  <conditionalFormatting sqref="V14:X14">
    <cfRule type="top10" dxfId="373" priority="355" bottom="1" rank="1"/>
    <cfRule type="top10" dxfId="372" priority="356" rank="1"/>
  </conditionalFormatting>
  <conditionalFormatting sqref="V21:X21">
    <cfRule type="cellIs" dxfId="371" priority="346" operator="greaterThan">
      <formula>V22</formula>
    </cfRule>
  </conditionalFormatting>
  <conditionalFormatting sqref="W20:W24">
    <cfRule type="top10" dxfId="370" priority="349" bottom="1" rank="1"/>
    <cfRule type="top10" dxfId="369" priority="350" rank="1"/>
  </conditionalFormatting>
  <conditionalFormatting sqref="X20:X24">
    <cfRule type="top10" dxfId="368" priority="347" bottom="1" rank="1"/>
    <cfRule type="top10" dxfId="367" priority="348" rank="1"/>
  </conditionalFormatting>
  <conditionalFormatting sqref="Z19:Z20">
    <cfRule type="cellIs" dxfId="366" priority="482" operator="lessThan">
      <formula>Z15</formula>
    </cfRule>
    <cfRule type="cellIs" dxfId="365" priority="483" operator="greaterThan">
      <formula>Z15</formula>
    </cfRule>
  </conditionalFormatting>
  <conditionalFormatting sqref="Z22:Z23">
    <cfRule type="top10" dxfId="364" priority="369" bottom="1" rank="1"/>
    <cfRule type="top10" dxfId="363" priority="370" rank="1"/>
  </conditionalFormatting>
  <conditionalFormatting sqref="Z24:Z25">
    <cfRule type="top10" dxfId="362" priority="363" bottom="1" rank="1"/>
    <cfRule type="top10" dxfId="361" priority="364" rank="1"/>
  </conditionalFormatting>
  <conditionalFormatting sqref="Z22:AB23">
    <cfRule type="cellIs" dxfId="360" priority="371" operator="lessThan">
      <formula>Z24</formula>
    </cfRule>
    <cfRule type="cellIs" dxfId="359" priority="372" operator="greaterThan">
      <formula>Z24</formula>
    </cfRule>
  </conditionalFormatting>
  <conditionalFormatting sqref="AA22:AA23">
    <cfRule type="top10" dxfId="358" priority="367" bottom="1" rank="1"/>
    <cfRule type="top10" dxfId="357" priority="368" rank="1"/>
  </conditionalFormatting>
  <conditionalFormatting sqref="AA24:AA25">
    <cfRule type="top10" dxfId="356" priority="361" bottom="1" rank="1"/>
    <cfRule type="top10" dxfId="355" priority="362" rank="1"/>
  </conditionalFormatting>
  <conditionalFormatting sqref="AB19:AB20">
    <cfRule type="cellIs" dxfId="354" priority="480" operator="lessThan">
      <formula>AB15</formula>
    </cfRule>
    <cfRule type="cellIs" dxfId="353" priority="481" operator="greaterThan">
      <formula>AB15</formula>
    </cfRule>
  </conditionalFormatting>
  <conditionalFormatting sqref="AB22:AB23">
    <cfRule type="top10" dxfId="352" priority="365" bottom="1" rank="1"/>
    <cfRule type="top10" dxfId="351" priority="366" rank="1"/>
  </conditionalFormatting>
  <conditionalFormatting sqref="AB24:AB25">
    <cfRule type="top10" dxfId="350" priority="359" bottom="1" rank="1"/>
    <cfRule type="top10" dxfId="349" priority="360" rank="1"/>
  </conditionalFormatting>
  <conditionalFormatting sqref="AC18:AC20">
    <cfRule type="cellIs" dxfId="348" priority="381" operator="lessThan">
      <formula>AC15</formula>
    </cfRule>
    <cfRule type="cellIs" dxfId="347" priority="382" operator="greaterThan">
      <formula>AC15</formula>
    </cfRule>
  </conditionalFormatting>
  <conditionalFormatting sqref="AC23:AC25">
    <cfRule type="top10" dxfId="346" priority="353" rank="1"/>
    <cfRule type="top10" dxfId="345" priority="354" bottom="1" rank="1"/>
  </conditionalFormatting>
  <conditionalFormatting sqref="AE14:AG14">
    <cfRule type="top10" dxfId="344" priority="377" bottom="1" rank="1"/>
    <cfRule type="top10" dxfId="343" priority="378" rank="1"/>
  </conditionalFormatting>
  <conditionalFormatting sqref="AE15:AG15">
    <cfRule type="top10" dxfId="342" priority="375" bottom="1" rank="1"/>
    <cfRule type="top10" dxfId="341" priority="376" rank="1"/>
  </conditionalFormatting>
  <conditionalFormatting sqref="AE16:AG16">
    <cfRule type="top10" dxfId="340" priority="373" bottom="1" rank="1"/>
    <cfRule type="top10" dxfId="339" priority="374" rank="1"/>
  </conditionalFormatting>
  <conditionalFormatting sqref="AE17:AG17">
    <cfRule type="cellIs" dxfId="338" priority="476" operator="lessThan">
      <formula>AE15</formula>
    </cfRule>
    <cfRule type="cellIs" dxfId="337" priority="477" operator="greaterThan">
      <formula>AE15</formula>
    </cfRule>
  </conditionalFormatting>
  <conditionalFormatting sqref="AE18:AG18">
    <cfRule type="top10" dxfId="336" priority="478" bottom="1" rank="1"/>
    <cfRule type="top10" dxfId="335" priority="479" rank="1"/>
  </conditionalFormatting>
  <conditionalFormatting sqref="AE20:AG20">
    <cfRule type="top10" dxfId="334" priority="474" bottom="1" rank="1"/>
    <cfRule type="top10" dxfId="333" priority="475" rank="1"/>
  </conditionalFormatting>
  <conditionalFormatting sqref="AE21:AG21">
    <cfRule type="cellIs" dxfId="332" priority="470" operator="lessThan">
      <formula>AE20</formula>
    </cfRule>
    <cfRule type="cellIs" dxfId="331" priority="471" operator="greaterThan">
      <formula>AE20</formula>
    </cfRule>
  </conditionalFormatting>
  <conditionalFormatting sqref="AE22:AG22">
    <cfRule type="cellIs" dxfId="330" priority="468" operator="lessThan">
      <formula>AE20</formula>
    </cfRule>
    <cfRule type="cellIs" dxfId="329" priority="469" operator="greaterThan">
      <formula>AE20</formula>
    </cfRule>
  </conditionalFormatting>
  <conditionalFormatting sqref="AE23:AG23">
    <cfRule type="top10" dxfId="328" priority="472" bottom="1" rank="1"/>
    <cfRule type="top10" dxfId="327" priority="473" rank="1"/>
  </conditionalFormatting>
  <conditionalFormatting sqref="AE24:AG24">
    <cfRule type="cellIs" dxfId="326" priority="466" operator="lessThan">
      <formula>0</formula>
    </cfRule>
    <cfRule type="cellIs" dxfId="325" priority="467" operator="greaterThan">
      <formula>0</formula>
    </cfRule>
  </conditionalFormatting>
  <conditionalFormatting sqref="AE25:AG25">
    <cfRule type="top10" dxfId="324" priority="463" bottom="1" rank="1"/>
    <cfRule type="cellIs" dxfId="323" priority="464" operator="greaterThan">
      <formula>0</formula>
    </cfRule>
    <cfRule type="cellIs" dxfId="322" priority="465" operator="lessThan">
      <formula>0</formula>
    </cfRule>
  </conditionalFormatting>
  <conditionalFormatting sqref="B28:B38">
    <cfRule type="top10" dxfId="321" priority="300" bottom="1" rank="1"/>
    <cfRule type="top10" dxfId="320" priority="301" rank="1"/>
  </conditionalFormatting>
  <conditionalFormatting sqref="B28:D28">
    <cfRule type="cellIs" dxfId="319" priority="235" operator="greaterThan">
      <formula>B30</formula>
    </cfRule>
  </conditionalFormatting>
  <conditionalFormatting sqref="B29:D29">
    <cfRule type="cellIs" dxfId="318" priority="236" operator="greaterThan">
      <formula>B30</formula>
    </cfRule>
  </conditionalFormatting>
  <conditionalFormatting sqref="B32:D32">
    <cfRule type="cellIs" dxfId="317" priority="237" operator="greaterThan">
      <formula>B30</formula>
    </cfRule>
  </conditionalFormatting>
  <conditionalFormatting sqref="B33:D33">
    <cfRule type="cellIs" dxfId="316" priority="238" operator="greaterThan">
      <formula>B30</formula>
    </cfRule>
  </conditionalFormatting>
  <conditionalFormatting sqref="B34:D34">
    <cfRule type="cellIs" dxfId="315" priority="239" operator="greaterThan">
      <formula>B30</formula>
    </cfRule>
  </conditionalFormatting>
  <conditionalFormatting sqref="B35:D35">
    <cfRule type="cellIs" dxfId="314" priority="241" operator="greaterThan">
      <formula>B30</formula>
    </cfRule>
  </conditionalFormatting>
  <conditionalFormatting sqref="B36:D36">
    <cfRule type="cellIs" dxfId="313" priority="240" operator="greaterThan">
      <formula>B30</formula>
    </cfRule>
  </conditionalFormatting>
  <conditionalFormatting sqref="C28:C38">
    <cfRule type="top10" dxfId="312" priority="244" bottom="1" rank="1"/>
    <cfRule type="top10" dxfId="311" priority="245" rank="1"/>
  </conditionalFormatting>
  <conditionalFormatting sqref="D28:D38">
    <cfRule type="top10" dxfId="310" priority="242" bottom="1" rank="1"/>
    <cfRule type="top10" dxfId="309" priority="243" rank="1"/>
  </conditionalFormatting>
  <conditionalFormatting sqref="E28:E30">
    <cfRule type="top10" dxfId="308" priority="175" bottom="1" rank="1"/>
    <cfRule type="top10" dxfId="307" priority="176" rank="1"/>
  </conditionalFormatting>
  <conditionalFormatting sqref="E32:E34">
    <cfRule type="top10" dxfId="306" priority="173" bottom="1" rank="1"/>
    <cfRule type="top10" dxfId="305" priority="174" rank="1"/>
  </conditionalFormatting>
  <conditionalFormatting sqref="E36:E38">
    <cfRule type="top10" dxfId="304" priority="171" bottom="1" rank="1"/>
    <cfRule type="top10" dxfId="303" priority="172" rank="1"/>
  </conditionalFormatting>
  <conditionalFormatting sqref="F28:F38">
    <cfRule type="top10" dxfId="302" priority="233" bottom="1" rank="1"/>
    <cfRule type="top10" dxfId="301" priority="234" rank="1"/>
  </conditionalFormatting>
  <conditionalFormatting sqref="F28:H28">
    <cfRule type="cellIs" dxfId="300" priority="222" operator="greaterThan">
      <formula>F30</formula>
    </cfRule>
  </conditionalFormatting>
  <conditionalFormatting sqref="F29:H29">
    <cfRule type="cellIs" dxfId="299" priority="223" operator="greaterThan">
      <formula>F30</formula>
    </cfRule>
  </conditionalFormatting>
  <conditionalFormatting sqref="F32:H32">
    <cfRule type="cellIs" dxfId="298" priority="224" operator="greaterThan">
      <formula>F30</formula>
    </cfRule>
  </conditionalFormatting>
  <conditionalFormatting sqref="F33:H33">
    <cfRule type="cellIs" dxfId="297" priority="225" operator="greaterThan">
      <formula>F30</formula>
    </cfRule>
  </conditionalFormatting>
  <conditionalFormatting sqref="F34:H34">
    <cfRule type="cellIs" dxfId="296" priority="226" operator="greaterThan">
      <formula>F30</formula>
    </cfRule>
  </conditionalFormatting>
  <conditionalFormatting sqref="F35:H35">
    <cfRule type="cellIs" dxfId="295" priority="228" operator="greaterThan">
      <formula>F30</formula>
    </cfRule>
  </conditionalFormatting>
  <conditionalFormatting sqref="F36:H36">
    <cfRule type="cellIs" dxfId="294" priority="227" operator="greaterThan">
      <formula>F30</formula>
    </cfRule>
  </conditionalFormatting>
  <conditionalFormatting sqref="G28:G38">
    <cfRule type="top10" dxfId="293" priority="231" bottom="1" rank="1"/>
    <cfRule type="top10" dxfId="292" priority="232" rank="1"/>
  </conditionalFormatting>
  <conditionalFormatting sqref="H28:H38">
    <cfRule type="top10" dxfId="291" priority="229" bottom="1" rank="1"/>
    <cfRule type="top10" dxfId="290" priority="230" rank="1"/>
  </conditionalFormatting>
  <conditionalFormatting sqref="I28:I30">
    <cfRule type="top10" dxfId="289" priority="169" bottom="1" rank="1"/>
    <cfRule type="top10" dxfId="288" priority="170" rank="1"/>
  </conditionalFormatting>
  <conditionalFormatting sqref="I32:I34">
    <cfRule type="top10" dxfId="287" priority="167" bottom="1" rank="1"/>
    <cfRule type="top10" dxfId="286" priority="168" rank="1"/>
  </conditionalFormatting>
  <conditionalFormatting sqref="I36:I38">
    <cfRule type="top10" dxfId="285" priority="165" bottom="1" rank="1"/>
    <cfRule type="top10" dxfId="284" priority="166" rank="1"/>
  </conditionalFormatting>
  <conditionalFormatting sqref="J28:J38">
    <cfRule type="top10" dxfId="283" priority="181" bottom="1" rank="1"/>
    <cfRule type="top10" dxfId="282" priority="182" rank="1"/>
  </conditionalFormatting>
  <conditionalFormatting sqref="J27:L27">
    <cfRule type="top10" dxfId="281" priority="183" bottom="1" rank="1"/>
    <cfRule type="top10" dxfId="280" priority="184" rank="1"/>
  </conditionalFormatting>
  <conditionalFormatting sqref="J30:L30">
    <cfRule type="cellIs" dxfId="279" priority="162" operator="greaterThan">
      <formula>J37</formula>
    </cfRule>
  </conditionalFormatting>
  <conditionalFormatting sqref="J34:L34">
    <cfRule type="cellIs" dxfId="278" priority="164" operator="greaterThan">
      <formula>J36</formula>
    </cfRule>
  </conditionalFormatting>
  <conditionalFormatting sqref="J36:L36">
    <cfRule type="cellIs" dxfId="277" priority="163" operator="greaterThan">
      <formula>J37</formula>
    </cfRule>
  </conditionalFormatting>
  <conditionalFormatting sqref="K28:K38">
    <cfRule type="top10" dxfId="276" priority="179" bottom="1" rank="1"/>
    <cfRule type="top10" dxfId="275" priority="180" rank="1"/>
  </conditionalFormatting>
  <conditionalFormatting sqref="L28:L38">
    <cfRule type="top10" dxfId="274" priority="177" bottom="1" rank="1"/>
    <cfRule type="top10" dxfId="273" priority="178" rank="1"/>
  </conditionalFormatting>
  <conditionalFormatting sqref="M28:M38">
    <cfRule type="cellIs" dxfId="272" priority="298" operator="lessThan">
      <formula>0</formula>
    </cfRule>
    <cfRule type="cellIs" dxfId="271" priority="299" operator="greaterThan">
      <formula>0</formula>
    </cfRule>
  </conditionalFormatting>
  <conditionalFormatting sqref="N28:N38">
    <cfRule type="top10" dxfId="270" priority="292" bottom="1" rank="1"/>
    <cfRule type="top10" dxfId="269" priority="293" rank="1"/>
  </conditionalFormatting>
  <conditionalFormatting sqref="N35">
    <cfRule type="cellIs" dxfId="268" priority="296" stopIfTrue="1" operator="lessThan">
      <formula>N28</formula>
    </cfRule>
    <cfRule type="cellIs" dxfId="267" priority="297" operator="greaterThan">
      <formula>N28</formula>
    </cfRule>
  </conditionalFormatting>
  <conditionalFormatting sqref="N36">
    <cfRule type="cellIs" dxfId="266" priority="294" stopIfTrue="1" operator="lessThan">
      <formula>N28</formula>
    </cfRule>
    <cfRule type="cellIs" dxfId="265" priority="295" stopIfTrue="1" operator="greaterThan">
      <formula>N28</formula>
    </cfRule>
  </conditionalFormatting>
  <conditionalFormatting sqref="N27:P27">
    <cfRule type="top10" dxfId="264" priority="218" bottom="1" rank="1"/>
    <cfRule type="top10" dxfId="263" priority="219" rank="1"/>
  </conditionalFormatting>
  <conditionalFormatting sqref="N34:P34">
    <cfRule type="top10" dxfId="262" priority="256" bottom="1" rank="1"/>
    <cfRule type="top10" dxfId="261" priority="257" rank="1"/>
    <cfRule type="cellIs" dxfId="260" priority="284" operator="lessThan">
      <formula>N28</formula>
    </cfRule>
    <cfRule type="cellIs" dxfId="259" priority="285" operator="greaterThan">
      <formula>N28</formula>
    </cfRule>
  </conditionalFormatting>
  <conditionalFormatting sqref="N35:P35">
    <cfRule type="top10" dxfId="258" priority="254" bottom="1" rank="1"/>
    <cfRule type="top10" dxfId="257" priority="255" rank="1"/>
  </conditionalFormatting>
  <conditionalFormatting sqref="N36:P36">
    <cfRule type="top10" dxfId="256" priority="252" bottom="1" rank="1"/>
    <cfRule type="top10" dxfId="255" priority="253" rank="1"/>
  </conditionalFormatting>
  <conditionalFormatting sqref="O28:O38">
    <cfRule type="top10" dxfId="254" priority="286" bottom="1" rank="1"/>
    <cfRule type="top10" dxfId="253" priority="287" rank="1"/>
  </conditionalFormatting>
  <conditionalFormatting sqref="O35">
    <cfRule type="cellIs" dxfId="252" priority="290" stopIfTrue="1" operator="lessThan">
      <formula>O28</formula>
    </cfRule>
    <cfRule type="cellIs" dxfId="251" priority="291" operator="greaterThan">
      <formula>O28</formula>
    </cfRule>
  </conditionalFormatting>
  <conditionalFormatting sqref="O36">
    <cfRule type="cellIs" dxfId="250" priority="288" stopIfTrue="1" operator="lessThan">
      <formula>O28</formula>
    </cfRule>
    <cfRule type="cellIs" dxfId="249" priority="289" stopIfTrue="1" operator="greaterThan">
      <formula>O28</formula>
    </cfRule>
  </conditionalFormatting>
  <conditionalFormatting sqref="P28:P38">
    <cfRule type="top10" dxfId="248" priority="278" bottom="1" rank="1"/>
    <cfRule type="top10" dxfId="247" priority="279" rank="1"/>
  </conditionalFormatting>
  <conditionalFormatting sqref="P35">
    <cfRule type="cellIs" dxfId="246" priority="282" stopIfTrue="1" operator="lessThan">
      <formula>P28</formula>
    </cfRule>
    <cfRule type="cellIs" dxfId="245" priority="283" operator="greaterThan">
      <formula>P28</formula>
    </cfRule>
  </conditionalFormatting>
  <conditionalFormatting sqref="P36">
    <cfRule type="cellIs" dxfId="244" priority="280" stopIfTrue="1" operator="lessThan">
      <formula>P28</formula>
    </cfRule>
    <cfRule type="cellIs" dxfId="243" priority="281" stopIfTrue="1" operator="greaterThan">
      <formula>P28</formula>
    </cfRule>
  </conditionalFormatting>
  <conditionalFormatting sqref="R28:R38">
    <cfRule type="top10" dxfId="242" priority="272" bottom="1" rank="1"/>
    <cfRule type="top10" dxfId="241" priority="273" rank="1"/>
  </conditionalFormatting>
  <conditionalFormatting sqref="R35">
    <cfRule type="cellIs" dxfId="240" priority="276" stopIfTrue="1" operator="lessThan">
      <formula>R28</formula>
    </cfRule>
    <cfRule type="cellIs" dxfId="239" priority="277" operator="greaterThan">
      <formula>R28</formula>
    </cfRule>
  </conditionalFormatting>
  <conditionalFormatting sqref="R36">
    <cfRule type="cellIs" dxfId="238" priority="274" stopIfTrue="1" operator="lessThan">
      <formula>R28</formula>
    </cfRule>
    <cfRule type="cellIs" dxfId="237" priority="275" stopIfTrue="1" operator="greaterThan">
      <formula>R28</formula>
    </cfRule>
  </conditionalFormatting>
  <conditionalFormatting sqref="R27:T27">
    <cfRule type="top10" dxfId="236" priority="196" bottom="1" rank="1"/>
    <cfRule type="top10" dxfId="235" priority="197" rank="1"/>
  </conditionalFormatting>
  <conditionalFormatting sqref="R34:T34">
    <cfRule type="top10" dxfId="234" priority="250" bottom="1" rank="1"/>
    <cfRule type="top10" dxfId="233" priority="251" rank="1"/>
    <cfRule type="cellIs" dxfId="232" priority="264" operator="lessThan">
      <formula>R28</formula>
    </cfRule>
    <cfRule type="cellIs" dxfId="231" priority="265" operator="greaterThan">
      <formula>R28</formula>
    </cfRule>
  </conditionalFormatting>
  <conditionalFormatting sqref="R35:T35">
    <cfRule type="top10" dxfId="230" priority="248" bottom="1" rank="1"/>
    <cfRule type="top10" dxfId="229" priority="249" rank="1"/>
  </conditionalFormatting>
  <conditionalFormatting sqref="R36:T36">
    <cfRule type="top10" dxfId="228" priority="246" bottom="1" rank="1"/>
    <cfRule type="top10" dxfId="227" priority="247" rank="1"/>
  </conditionalFormatting>
  <conditionalFormatting sqref="S28:S38">
    <cfRule type="top10" dxfId="226" priority="266" bottom="1" rank="1"/>
    <cfRule type="top10" dxfId="225" priority="267" rank="1"/>
  </conditionalFormatting>
  <conditionalFormatting sqref="S35">
    <cfRule type="cellIs" dxfId="224" priority="270" stopIfTrue="1" operator="lessThan">
      <formula>S28</formula>
    </cfRule>
    <cfRule type="cellIs" dxfId="223" priority="271" operator="greaterThan">
      <formula>S28</formula>
    </cfRule>
  </conditionalFormatting>
  <conditionalFormatting sqref="S36">
    <cfRule type="cellIs" dxfId="222" priority="268" stopIfTrue="1" operator="lessThan">
      <formula>S28</formula>
    </cfRule>
    <cfRule type="cellIs" dxfId="221" priority="269" stopIfTrue="1" operator="greaterThan">
      <formula>S28</formula>
    </cfRule>
  </conditionalFormatting>
  <conditionalFormatting sqref="T28:T38">
    <cfRule type="top10" dxfId="220" priority="258" bottom="1" rank="1"/>
    <cfRule type="top10" dxfId="219" priority="259" rank="1"/>
  </conditionalFormatting>
  <conditionalFormatting sqref="T35">
    <cfRule type="cellIs" dxfId="218" priority="262" stopIfTrue="1" operator="lessThan">
      <formula>T28</formula>
    </cfRule>
    <cfRule type="cellIs" dxfId="217" priority="263" operator="greaterThan">
      <formula>T28</formula>
    </cfRule>
  </conditionalFormatting>
  <conditionalFormatting sqref="T36">
    <cfRule type="cellIs" dxfId="216" priority="260" stopIfTrue="1" operator="lessThan">
      <formula>T28</formula>
    </cfRule>
    <cfRule type="cellIs" dxfId="215" priority="261" stopIfTrue="1" operator="greaterThan">
      <formula>T28</formula>
    </cfRule>
  </conditionalFormatting>
  <conditionalFormatting sqref="V33:V37">
    <cfRule type="top10" dxfId="214" priority="190" bottom="1" rank="1"/>
    <cfRule type="top10" dxfId="213" priority="191" rank="1"/>
  </conditionalFormatting>
  <conditionalFormatting sqref="V27:X27">
    <cfRule type="top10" dxfId="212" priority="194" bottom="1" rank="1"/>
    <cfRule type="top10" dxfId="211" priority="195" rank="1"/>
  </conditionalFormatting>
  <conditionalFormatting sqref="V34:X34">
    <cfRule type="cellIs" dxfId="210" priority="185" operator="greaterThan">
      <formula>V35</formula>
    </cfRule>
  </conditionalFormatting>
  <conditionalFormatting sqref="W33:W37">
    <cfRule type="top10" dxfId="209" priority="188" bottom="1" rank="1"/>
    <cfRule type="top10" dxfId="208" priority="189" rank="1"/>
  </conditionalFormatting>
  <conditionalFormatting sqref="X33:X37">
    <cfRule type="top10" dxfId="207" priority="186" bottom="1" rank="1"/>
    <cfRule type="top10" dxfId="206" priority="187" rank="1"/>
  </conditionalFormatting>
  <conditionalFormatting sqref="Z32:Z33">
    <cfRule type="cellIs" dxfId="205" priority="321" operator="lessThan">
      <formula>Z28</formula>
    </cfRule>
    <cfRule type="cellIs" dxfId="204" priority="322" operator="greaterThan">
      <formula>Z28</formula>
    </cfRule>
  </conditionalFormatting>
  <conditionalFormatting sqref="Z35:Z36">
    <cfRule type="top10" dxfId="203" priority="208" bottom="1" rank="1"/>
    <cfRule type="top10" dxfId="202" priority="209" rank="1"/>
  </conditionalFormatting>
  <conditionalFormatting sqref="Z37:Z38">
    <cfRule type="top10" dxfId="201" priority="202" bottom="1" rank="1"/>
    <cfRule type="top10" dxfId="200" priority="203" rank="1"/>
  </conditionalFormatting>
  <conditionalFormatting sqref="Z35:AB36">
    <cfRule type="cellIs" dxfId="199" priority="210" operator="lessThan">
      <formula>Z37</formula>
    </cfRule>
    <cfRule type="cellIs" dxfId="198" priority="211" operator="greaterThan">
      <formula>Z37</formula>
    </cfRule>
  </conditionalFormatting>
  <conditionalFormatting sqref="AA35:AA36">
    <cfRule type="top10" dxfId="197" priority="206" bottom="1" rank="1"/>
    <cfRule type="top10" dxfId="196" priority="207" rank="1"/>
  </conditionalFormatting>
  <conditionalFormatting sqref="AA37:AA38">
    <cfRule type="top10" dxfId="195" priority="200" bottom="1" rank="1"/>
    <cfRule type="top10" dxfId="194" priority="201" rank="1"/>
  </conditionalFormatting>
  <conditionalFormatting sqref="AB32:AB33">
    <cfRule type="cellIs" dxfId="193" priority="319" operator="lessThan">
      <formula>AB28</formula>
    </cfRule>
    <cfRule type="cellIs" dxfId="192" priority="320" operator="greaterThan">
      <formula>AB28</formula>
    </cfRule>
  </conditionalFormatting>
  <conditionalFormatting sqref="AB35:AB36">
    <cfRule type="top10" dxfId="191" priority="204" bottom="1" rank="1"/>
    <cfRule type="top10" dxfId="190" priority="205" rank="1"/>
  </conditionalFormatting>
  <conditionalFormatting sqref="AB37:AB38">
    <cfRule type="top10" dxfId="189" priority="198" bottom="1" rank="1"/>
    <cfRule type="top10" dxfId="188" priority="199" rank="1"/>
  </conditionalFormatting>
  <conditionalFormatting sqref="AC31:AC33">
    <cfRule type="cellIs" dxfId="187" priority="220" operator="lessThan">
      <formula>AC28</formula>
    </cfRule>
    <cfRule type="cellIs" dxfId="186" priority="221" operator="greaterThan">
      <formula>AC28</formula>
    </cfRule>
  </conditionalFormatting>
  <conditionalFormatting sqref="AC36:AC38">
    <cfRule type="top10" dxfId="185" priority="192" rank="1"/>
    <cfRule type="top10" dxfId="184" priority="193" bottom="1" rank="1"/>
  </conditionalFormatting>
  <conditionalFormatting sqref="AE27:AG27">
    <cfRule type="top10" dxfId="183" priority="216" bottom="1" rank="1"/>
    <cfRule type="top10" dxfId="182" priority="217" rank="1"/>
  </conditionalFormatting>
  <conditionalFormatting sqref="AE28:AG28">
    <cfRule type="top10" dxfId="181" priority="214" bottom="1" rank="1"/>
    <cfRule type="top10" dxfId="180" priority="215" rank="1"/>
  </conditionalFormatting>
  <conditionalFormatting sqref="AE29:AG29">
    <cfRule type="top10" dxfId="179" priority="212" bottom="1" rank="1"/>
    <cfRule type="top10" dxfId="178" priority="213" rank="1"/>
  </conditionalFormatting>
  <conditionalFormatting sqref="AE30:AG30">
    <cfRule type="cellIs" dxfId="177" priority="315" operator="lessThan">
      <formula>AE28</formula>
    </cfRule>
    <cfRule type="cellIs" dxfId="176" priority="316" operator="greaterThan">
      <formula>AE28</formula>
    </cfRule>
  </conditionalFormatting>
  <conditionalFormatting sqref="AE31:AG31">
    <cfRule type="top10" dxfId="175" priority="317" bottom="1" rank="1"/>
    <cfRule type="top10" dxfId="174" priority="318" rank="1"/>
  </conditionalFormatting>
  <conditionalFormatting sqref="AE33:AG33">
    <cfRule type="top10" dxfId="173" priority="313" bottom="1" rank="1"/>
    <cfRule type="top10" dxfId="172" priority="314" rank="1"/>
  </conditionalFormatting>
  <conditionalFormatting sqref="AE34:AG34">
    <cfRule type="cellIs" dxfId="171" priority="309" operator="lessThan">
      <formula>AE33</formula>
    </cfRule>
    <cfRule type="cellIs" dxfId="170" priority="310" operator="greaterThan">
      <formula>AE33</formula>
    </cfRule>
  </conditionalFormatting>
  <conditionalFormatting sqref="AE35:AG35">
    <cfRule type="cellIs" dxfId="169" priority="307" operator="lessThan">
      <formula>AE33</formula>
    </cfRule>
    <cfRule type="cellIs" dxfId="168" priority="308" operator="greaterThan">
      <formula>AE33</formula>
    </cfRule>
  </conditionalFormatting>
  <conditionalFormatting sqref="AE36:AG36">
    <cfRule type="top10" dxfId="167" priority="311" bottom="1" rank="1"/>
    <cfRule type="top10" dxfId="166" priority="312" rank="1"/>
  </conditionalFormatting>
  <conditionalFormatting sqref="AE37:AG37">
    <cfRule type="cellIs" dxfId="165" priority="305" operator="lessThan">
      <formula>0</formula>
    </cfRule>
    <cfRule type="cellIs" dxfId="164" priority="306" operator="greaterThan">
      <formula>0</formula>
    </cfRule>
  </conditionalFormatting>
  <conditionalFormatting sqref="AE38:AG38">
    <cfRule type="top10" dxfId="163" priority="302" bottom="1" rank="1"/>
    <cfRule type="cellIs" dxfId="162" priority="303" operator="greaterThan">
      <formula>0</formula>
    </cfRule>
    <cfRule type="cellIs" dxfId="161" priority="304" operator="lessThan">
      <formula>0</formula>
    </cfRule>
  </conditionalFormatting>
  <conditionalFormatting sqref="B41:B51">
    <cfRule type="top10" dxfId="160" priority="139" bottom="1" rank="1"/>
    <cfRule type="top10" dxfId="159" priority="140" rank="1"/>
  </conditionalFormatting>
  <conditionalFormatting sqref="B41:D41">
    <cfRule type="cellIs" dxfId="158" priority="74" operator="greaterThan">
      <formula>B43</formula>
    </cfRule>
  </conditionalFormatting>
  <conditionalFormatting sqref="B42:D42">
    <cfRule type="cellIs" dxfId="157" priority="75" operator="greaterThan">
      <formula>B43</formula>
    </cfRule>
  </conditionalFormatting>
  <conditionalFormatting sqref="B45:D45">
    <cfRule type="cellIs" dxfId="156" priority="76" operator="greaterThan">
      <formula>B43</formula>
    </cfRule>
  </conditionalFormatting>
  <conditionalFormatting sqref="B46:D46">
    <cfRule type="cellIs" dxfId="155" priority="77" operator="greaterThan">
      <formula>B43</formula>
    </cfRule>
  </conditionalFormatting>
  <conditionalFormatting sqref="B47:D47">
    <cfRule type="cellIs" dxfId="154" priority="78" operator="greaterThan">
      <formula>B43</formula>
    </cfRule>
  </conditionalFormatting>
  <conditionalFormatting sqref="B48:D48">
    <cfRule type="cellIs" dxfId="153" priority="80" operator="greaterThan">
      <formula>B43</formula>
    </cfRule>
  </conditionalFormatting>
  <conditionalFormatting sqref="B49:D49">
    <cfRule type="cellIs" dxfId="152" priority="79" operator="greaterThan">
      <formula>B43</formula>
    </cfRule>
  </conditionalFormatting>
  <conditionalFormatting sqref="C41:C51">
    <cfRule type="top10" dxfId="151" priority="83" bottom="1" rank="1"/>
    <cfRule type="top10" dxfId="150" priority="84" rank="1"/>
  </conditionalFormatting>
  <conditionalFormatting sqref="D41:D51">
    <cfRule type="top10" dxfId="149" priority="81" bottom="1" rank="1"/>
    <cfRule type="top10" dxfId="148" priority="82" rank="1"/>
  </conditionalFormatting>
  <conditionalFormatting sqref="E41:E43">
    <cfRule type="top10" dxfId="147" priority="14" bottom="1" rank="1"/>
    <cfRule type="top10" dxfId="146" priority="15" rank="1"/>
  </conditionalFormatting>
  <conditionalFormatting sqref="E45:E47">
    <cfRule type="top10" dxfId="145" priority="12" bottom="1" rank="1"/>
    <cfRule type="top10" dxfId="144" priority="13" rank="1"/>
  </conditionalFormatting>
  <conditionalFormatting sqref="E49:E51">
    <cfRule type="top10" dxfId="143" priority="10" bottom="1" rank="1"/>
    <cfRule type="top10" dxfId="142" priority="11" rank="1"/>
  </conditionalFormatting>
  <conditionalFormatting sqref="F41:F51">
    <cfRule type="top10" dxfId="141" priority="72" bottom="1" rank="1"/>
    <cfRule type="top10" dxfId="140" priority="73" rank="1"/>
  </conditionalFormatting>
  <conditionalFormatting sqref="F41:H41">
    <cfRule type="cellIs" dxfId="139" priority="61" operator="greaterThan">
      <formula>F43</formula>
    </cfRule>
  </conditionalFormatting>
  <conditionalFormatting sqref="F42:H42">
    <cfRule type="cellIs" dxfId="138" priority="62" operator="greaterThan">
      <formula>F43</formula>
    </cfRule>
  </conditionalFormatting>
  <conditionalFormatting sqref="F45:H45">
    <cfRule type="cellIs" dxfId="137" priority="63" operator="greaterThan">
      <formula>F43</formula>
    </cfRule>
  </conditionalFormatting>
  <conditionalFormatting sqref="F46:H46">
    <cfRule type="cellIs" dxfId="136" priority="64" operator="greaterThan">
      <formula>F43</formula>
    </cfRule>
  </conditionalFormatting>
  <conditionalFormatting sqref="F47:H47">
    <cfRule type="cellIs" dxfId="135" priority="65" operator="greaterThan">
      <formula>F43</formula>
    </cfRule>
  </conditionalFormatting>
  <conditionalFormatting sqref="F48:H48">
    <cfRule type="cellIs" dxfId="134" priority="67" operator="greaterThan">
      <formula>F43</formula>
    </cfRule>
  </conditionalFormatting>
  <conditionalFormatting sqref="F49:H49">
    <cfRule type="cellIs" dxfId="133" priority="66" operator="greaterThan">
      <formula>F43</formula>
    </cfRule>
  </conditionalFormatting>
  <conditionalFormatting sqref="G41:G51">
    <cfRule type="top10" dxfId="132" priority="70" bottom="1" rank="1"/>
    <cfRule type="top10" dxfId="131" priority="71" rank="1"/>
  </conditionalFormatting>
  <conditionalFormatting sqref="H41:H51">
    <cfRule type="top10" dxfId="130" priority="68" bottom="1" rank="1"/>
    <cfRule type="top10" dxfId="129" priority="69" rank="1"/>
  </conditionalFormatting>
  <conditionalFormatting sqref="I41:I43">
    <cfRule type="top10" dxfId="128" priority="8" bottom="1" rank="1"/>
    <cfRule type="top10" dxfId="127" priority="9" rank="1"/>
  </conditionalFormatting>
  <conditionalFormatting sqref="I45:I47">
    <cfRule type="top10" dxfId="126" priority="6" bottom="1" rank="1"/>
    <cfRule type="top10" dxfId="125" priority="7" rank="1"/>
  </conditionalFormatting>
  <conditionalFormatting sqref="I49:I51">
    <cfRule type="top10" dxfId="124" priority="4" bottom="1" rank="1"/>
    <cfRule type="top10" dxfId="123" priority="5" rank="1"/>
  </conditionalFormatting>
  <conditionalFormatting sqref="J41:J51">
    <cfRule type="top10" dxfId="122" priority="20" bottom="1" rank="1"/>
    <cfRule type="top10" dxfId="121" priority="21" rank="1"/>
  </conditionalFormatting>
  <conditionalFormatting sqref="J40:L40">
    <cfRule type="top10" dxfId="120" priority="22" bottom="1" rank="1"/>
    <cfRule type="top10" dxfId="119" priority="23" rank="1"/>
  </conditionalFormatting>
  <conditionalFormatting sqref="J43:L43">
    <cfRule type="cellIs" dxfId="118" priority="1" operator="greaterThan">
      <formula>J50</formula>
    </cfRule>
  </conditionalFormatting>
  <conditionalFormatting sqref="J47:L47">
    <cfRule type="cellIs" dxfId="117" priority="3" operator="greaterThan">
      <formula>J49</formula>
    </cfRule>
  </conditionalFormatting>
  <conditionalFormatting sqref="J49:L49">
    <cfRule type="cellIs" dxfId="116" priority="2" operator="greaterThan">
      <formula>J50</formula>
    </cfRule>
  </conditionalFormatting>
  <conditionalFormatting sqref="K41:K51">
    <cfRule type="top10" dxfId="115" priority="18" bottom="1" rank="1"/>
    <cfRule type="top10" dxfId="114" priority="19" rank="1"/>
  </conditionalFormatting>
  <conditionalFormatting sqref="L41:L51">
    <cfRule type="top10" dxfId="113" priority="16" bottom="1" rank="1"/>
    <cfRule type="top10" dxfId="112" priority="17" rank="1"/>
  </conditionalFormatting>
  <conditionalFormatting sqref="M41:M51">
    <cfRule type="cellIs" dxfId="111" priority="137" operator="lessThan">
      <formula>0</formula>
    </cfRule>
    <cfRule type="cellIs" dxfId="110" priority="138" operator="greaterThan">
      <formula>0</formula>
    </cfRule>
  </conditionalFormatting>
  <conditionalFormatting sqref="N41:N51">
    <cfRule type="top10" dxfId="109" priority="131" bottom="1" rank="1"/>
    <cfRule type="top10" dxfId="108" priority="132" rank="1"/>
  </conditionalFormatting>
  <conditionalFormatting sqref="N48">
    <cfRule type="cellIs" dxfId="107" priority="135" stopIfTrue="1" operator="lessThan">
      <formula>N41</formula>
    </cfRule>
    <cfRule type="cellIs" dxfId="106" priority="136" operator="greaterThan">
      <formula>N41</formula>
    </cfRule>
  </conditionalFormatting>
  <conditionalFormatting sqref="N49">
    <cfRule type="cellIs" dxfId="105" priority="133" stopIfTrue="1" operator="lessThan">
      <formula>N41</formula>
    </cfRule>
    <cfRule type="cellIs" dxfId="104" priority="134" stopIfTrue="1" operator="greaterThan">
      <formula>N41</formula>
    </cfRule>
  </conditionalFormatting>
  <conditionalFormatting sqref="N40:P40">
    <cfRule type="top10" dxfId="103" priority="57" bottom="1" rank="1"/>
    <cfRule type="top10" dxfId="102" priority="58" rank="1"/>
  </conditionalFormatting>
  <conditionalFormatting sqref="N47:P47">
    <cfRule type="top10" dxfId="101" priority="95" bottom="1" rank="1"/>
    <cfRule type="top10" dxfId="100" priority="96" rank="1"/>
    <cfRule type="cellIs" dxfId="99" priority="123" operator="lessThan">
      <formula>N41</formula>
    </cfRule>
    <cfRule type="cellIs" dxfId="98" priority="124" operator="greaterThan">
      <formula>N41</formula>
    </cfRule>
  </conditionalFormatting>
  <conditionalFormatting sqref="N48:P48">
    <cfRule type="top10" dxfId="97" priority="93" bottom="1" rank="1"/>
    <cfRule type="top10" dxfId="96" priority="94" rank="1"/>
  </conditionalFormatting>
  <conditionalFormatting sqref="N49:P49">
    <cfRule type="top10" dxfId="95" priority="91" bottom="1" rank="1"/>
    <cfRule type="top10" dxfId="94" priority="92" rank="1"/>
  </conditionalFormatting>
  <conditionalFormatting sqref="O41:O51">
    <cfRule type="top10" dxfId="93" priority="125" bottom="1" rank="1"/>
    <cfRule type="top10" dxfId="92" priority="126" rank="1"/>
  </conditionalFormatting>
  <conditionalFormatting sqref="O48">
    <cfRule type="cellIs" dxfId="91" priority="129" stopIfTrue="1" operator="lessThan">
      <formula>O41</formula>
    </cfRule>
    <cfRule type="cellIs" dxfId="90" priority="130" operator="greaterThan">
      <formula>O41</formula>
    </cfRule>
  </conditionalFormatting>
  <conditionalFormatting sqref="O49">
    <cfRule type="cellIs" dxfId="89" priority="127" stopIfTrue="1" operator="lessThan">
      <formula>O41</formula>
    </cfRule>
    <cfRule type="cellIs" dxfId="88" priority="128" stopIfTrue="1" operator="greaterThan">
      <formula>O41</formula>
    </cfRule>
  </conditionalFormatting>
  <conditionalFormatting sqref="P41:P51">
    <cfRule type="top10" dxfId="87" priority="117" bottom="1" rank="1"/>
    <cfRule type="top10" dxfId="86" priority="118" rank="1"/>
  </conditionalFormatting>
  <conditionalFormatting sqref="P48">
    <cfRule type="cellIs" dxfId="85" priority="121" stopIfTrue="1" operator="lessThan">
      <formula>P41</formula>
    </cfRule>
    <cfRule type="cellIs" dxfId="84" priority="122" operator="greaterThan">
      <formula>P41</formula>
    </cfRule>
  </conditionalFormatting>
  <conditionalFormatting sqref="P49">
    <cfRule type="cellIs" dxfId="83" priority="119" stopIfTrue="1" operator="lessThan">
      <formula>P41</formula>
    </cfRule>
    <cfRule type="cellIs" dxfId="82" priority="120" stopIfTrue="1" operator="greaterThan">
      <formula>P41</formula>
    </cfRule>
  </conditionalFormatting>
  <conditionalFormatting sqref="R41:R51">
    <cfRule type="top10" dxfId="81" priority="111" bottom="1" rank="1"/>
    <cfRule type="top10" dxfId="80" priority="112" rank="1"/>
  </conditionalFormatting>
  <conditionalFormatting sqref="R48">
    <cfRule type="cellIs" dxfId="79" priority="115" stopIfTrue="1" operator="lessThan">
      <formula>R41</formula>
    </cfRule>
    <cfRule type="cellIs" dxfId="78" priority="116" operator="greaterThan">
      <formula>R41</formula>
    </cfRule>
  </conditionalFormatting>
  <conditionalFormatting sqref="R49">
    <cfRule type="cellIs" dxfId="77" priority="113" stopIfTrue="1" operator="lessThan">
      <formula>R41</formula>
    </cfRule>
    <cfRule type="cellIs" dxfId="76" priority="114" stopIfTrue="1" operator="greaterThan">
      <formula>R41</formula>
    </cfRule>
  </conditionalFormatting>
  <conditionalFormatting sqref="R40:T40">
    <cfRule type="top10" dxfId="75" priority="35" bottom="1" rank="1"/>
    <cfRule type="top10" dxfId="74" priority="36" rank="1"/>
  </conditionalFormatting>
  <conditionalFormatting sqref="R47:T47">
    <cfRule type="top10" dxfId="73" priority="89" bottom="1" rank="1"/>
    <cfRule type="top10" dxfId="72" priority="90" rank="1"/>
    <cfRule type="cellIs" dxfId="71" priority="103" operator="lessThan">
      <formula>R41</formula>
    </cfRule>
    <cfRule type="cellIs" dxfId="70" priority="104" operator="greaterThan">
      <formula>R41</formula>
    </cfRule>
  </conditionalFormatting>
  <conditionalFormatting sqref="R48:T48">
    <cfRule type="top10" dxfId="69" priority="87" bottom="1" rank="1"/>
    <cfRule type="top10" dxfId="68" priority="88" rank="1"/>
  </conditionalFormatting>
  <conditionalFormatting sqref="R49:T49">
    <cfRule type="top10" dxfId="67" priority="85" bottom="1" rank="1"/>
    <cfRule type="top10" dxfId="66" priority="86" rank="1"/>
  </conditionalFormatting>
  <conditionalFormatting sqref="S41:S51">
    <cfRule type="top10" dxfId="65" priority="105" bottom="1" rank="1"/>
    <cfRule type="top10" dxfId="64" priority="106" rank="1"/>
  </conditionalFormatting>
  <conditionalFormatting sqref="S48">
    <cfRule type="cellIs" dxfId="63" priority="109" stopIfTrue="1" operator="lessThan">
      <formula>S41</formula>
    </cfRule>
    <cfRule type="cellIs" dxfId="62" priority="110" operator="greaterThan">
      <formula>S41</formula>
    </cfRule>
  </conditionalFormatting>
  <conditionalFormatting sqref="S49">
    <cfRule type="cellIs" dxfId="61" priority="107" stopIfTrue="1" operator="lessThan">
      <formula>S41</formula>
    </cfRule>
    <cfRule type="cellIs" dxfId="60" priority="108" stopIfTrue="1" operator="greaterThan">
      <formula>S41</formula>
    </cfRule>
  </conditionalFormatting>
  <conditionalFormatting sqref="T41:T51">
    <cfRule type="top10" dxfId="59" priority="97" bottom="1" rank="1"/>
    <cfRule type="top10" dxfId="58" priority="98" rank="1"/>
  </conditionalFormatting>
  <conditionalFormatting sqref="T48">
    <cfRule type="cellIs" dxfId="57" priority="101" stopIfTrue="1" operator="lessThan">
      <formula>T41</formula>
    </cfRule>
    <cfRule type="cellIs" dxfId="56" priority="102" operator="greaterThan">
      <formula>T41</formula>
    </cfRule>
  </conditionalFormatting>
  <conditionalFormatting sqref="T49">
    <cfRule type="cellIs" dxfId="55" priority="99" stopIfTrue="1" operator="lessThan">
      <formula>T41</formula>
    </cfRule>
    <cfRule type="cellIs" dxfId="54" priority="100" stopIfTrue="1" operator="greaterThan">
      <formula>T41</formula>
    </cfRule>
  </conditionalFormatting>
  <conditionalFormatting sqref="V46:V50">
    <cfRule type="top10" dxfId="53" priority="29" bottom="1" rank="1"/>
    <cfRule type="top10" dxfId="52" priority="30" rank="1"/>
  </conditionalFormatting>
  <conditionalFormatting sqref="V40:X40">
    <cfRule type="top10" dxfId="51" priority="33" bottom="1" rank="1"/>
    <cfRule type="top10" dxfId="50" priority="34" rank="1"/>
  </conditionalFormatting>
  <conditionalFormatting sqref="V47:X47">
    <cfRule type="cellIs" dxfId="49" priority="24" operator="greaterThan">
      <formula>V48</formula>
    </cfRule>
  </conditionalFormatting>
  <conditionalFormatting sqref="W46:W50">
    <cfRule type="top10" dxfId="48" priority="27" bottom="1" rank="1"/>
    <cfRule type="top10" dxfId="47" priority="28" rank="1"/>
  </conditionalFormatting>
  <conditionalFormatting sqref="X46:X50">
    <cfRule type="top10" dxfId="46" priority="25" bottom="1" rank="1"/>
    <cfRule type="top10" dxfId="45" priority="26" rank="1"/>
  </conditionalFormatting>
  <conditionalFormatting sqref="Z45:Z46">
    <cfRule type="cellIs" dxfId="44" priority="160" operator="lessThan">
      <formula>Z41</formula>
    </cfRule>
    <cfRule type="cellIs" dxfId="43" priority="161" operator="greaterThan">
      <formula>Z41</formula>
    </cfRule>
  </conditionalFormatting>
  <conditionalFormatting sqref="Z48:Z49">
    <cfRule type="top10" dxfId="42" priority="47" bottom="1" rank="1"/>
    <cfRule type="top10" dxfId="41" priority="48" rank="1"/>
  </conditionalFormatting>
  <conditionalFormatting sqref="Z50:Z51">
    <cfRule type="top10" dxfId="40" priority="41" bottom="1" rank="1"/>
    <cfRule type="top10" dxfId="39" priority="42" rank="1"/>
  </conditionalFormatting>
  <conditionalFormatting sqref="Z48:AB49">
    <cfRule type="cellIs" dxfId="38" priority="49" operator="lessThan">
      <formula>Z50</formula>
    </cfRule>
    <cfRule type="cellIs" dxfId="37" priority="50" operator="greaterThan">
      <formula>Z50</formula>
    </cfRule>
  </conditionalFormatting>
  <conditionalFormatting sqref="AA48:AA49">
    <cfRule type="top10" dxfId="36" priority="45" bottom="1" rank="1"/>
    <cfRule type="top10" dxfId="35" priority="46" rank="1"/>
  </conditionalFormatting>
  <conditionalFormatting sqref="AA50:AA51">
    <cfRule type="top10" dxfId="34" priority="39" bottom="1" rank="1"/>
    <cfRule type="top10" dxfId="33" priority="40" rank="1"/>
  </conditionalFormatting>
  <conditionalFormatting sqref="AB45:AB46">
    <cfRule type="cellIs" dxfId="32" priority="158" operator="lessThan">
      <formula>AB41</formula>
    </cfRule>
    <cfRule type="cellIs" dxfId="31" priority="159" operator="greaterThan">
      <formula>AB41</formula>
    </cfRule>
  </conditionalFormatting>
  <conditionalFormatting sqref="AB48:AB49">
    <cfRule type="top10" dxfId="30" priority="43" bottom="1" rank="1"/>
    <cfRule type="top10" dxfId="29" priority="44" rank="1"/>
  </conditionalFormatting>
  <conditionalFormatting sqref="AB50:AB51">
    <cfRule type="top10" dxfId="28" priority="37" bottom="1" rank="1"/>
    <cfRule type="top10" dxfId="27" priority="38" rank="1"/>
  </conditionalFormatting>
  <conditionalFormatting sqref="AC44:AC46">
    <cfRule type="cellIs" dxfId="26" priority="59" operator="lessThan">
      <formula>AC41</formula>
    </cfRule>
    <cfRule type="cellIs" dxfId="25" priority="60" operator="greaterThan">
      <formula>AC41</formula>
    </cfRule>
  </conditionalFormatting>
  <conditionalFormatting sqref="AC49:AC51">
    <cfRule type="top10" dxfId="24" priority="31" rank="1"/>
    <cfRule type="top10" dxfId="23" priority="32" bottom="1" rank="1"/>
  </conditionalFormatting>
  <conditionalFormatting sqref="AE40:AG40">
    <cfRule type="top10" dxfId="22" priority="55" bottom="1" rank="1"/>
    <cfRule type="top10" dxfId="21" priority="56" rank="1"/>
  </conditionalFormatting>
  <conditionalFormatting sqref="AE41:AG41">
    <cfRule type="top10" dxfId="20" priority="53" bottom="1" rank="1"/>
    <cfRule type="top10" dxfId="19" priority="54" rank="1"/>
  </conditionalFormatting>
  <conditionalFormatting sqref="AE42:AG42">
    <cfRule type="top10" dxfId="18" priority="51" bottom="1" rank="1"/>
    <cfRule type="top10" dxfId="17" priority="52" rank="1"/>
  </conditionalFormatting>
  <conditionalFormatting sqref="AE43:AG43">
    <cfRule type="cellIs" dxfId="16" priority="154" operator="lessThan">
      <formula>AE41</formula>
    </cfRule>
    <cfRule type="cellIs" dxfId="15" priority="155" operator="greaterThan">
      <formula>AE41</formula>
    </cfRule>
  </conditionalFormatting>
  <conditionalFormatting sqref="AE44:AG44">
    <cfRule type="top10" dxfId="14" priority="156" bottom="1" rank="1"/>
    <cfRule type="top10" dxfId="13" priority="157" rank="1"/>
  </conditionalFormatting>
  <conditionalFormatting sqref="AE46:AG46">
    <cfRule type="top10" dxfId="12" priority="152" bottom="1" rank="1"/>
    <cfRule type="top10" dxfId="11" priority="153" rank="1"/>
  </conditionalFormatting>
  <conditionalFormatting sqref="AE47:AG47">
    <cfRule type="cellIs" dxfId="10" priority="148" operator="lessThan">
      <formula>AE46</formula>
    </cfRule>
    <cfRule type="cellIs" dxfId="9" priority="149" operator="greaterThan">
      <formula>AE46</formula>
    </cfRule>
  </conditionalFormatting>
  <conditionalFormatting sqref="AE48:AG48">
    <cfRule type="cellIs" dxfId="8" priority="146" operator="lessThan">
      <formula>AE46</formula>
    </cfRule>
    <cfRule type="cellIs" dxfId="7" priority="147" operator="greaterThan">
      <formula>AE46</formula>
    </cfRule>
  </conditionalFormatting>
  <conditionalFormatting sqref="AE49:AG49">
    <cfRule type="top10" dxfId="6" priority="150" bottom="1" rank="1"/>
    <cfRule type="top10" dxfId="5" priority="151" rank="1"/>
  </conditionalFormatting>
  <conditionalFormatting sqref="AE50:AG50">
    <cfRule type="cellIs" dxfId="4" priority="144" operator="lessThan">
      <formula>0</formula>
    </cfRule>
    <cfRule type="cellIs" dxfId="3" priority="145" operator="greaterThan">
      <formula>0</formula>
    </cfRule>
  </conditionalFormatting>
  <conditionalFormatting sqref="AE51:AG51">
    <cfRule type="top10" dxfId="2" priority="141" bottom="1" rank="1"/>
    <cfRule type="cellIs" dxfId="1" priority="142" operator="greaterThan">
      <formula>0</formula>
    </cfRule>
    <cfRule type="cellIs" dxfId="0" priority="143" operator="lessThan">
      <formula>0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H12"/>
  <sheetViews>
    <sheetView workbookViewId="0">
      <selection activeCell="A4" sqref="A4"/>
    </sheetView>
  </sheetViews>
  <sheetFormatPr defaultRowHeight="14.25" x14ac:dyDescent="0.2"/>
  <sheetData>
    <row r="1" spans="1:34" ht="15" customHeight="1" thickBot="1" x14ac:dyDescent="0.25">
      <c r="A1" s="1" t="s">
        <v>0</v>
      </c>
      <c r="B1" s="125" t="s">
        <v>1</v>
      </c>
      <c r="C1" s="126"/>
      <c r="D1" s="126"/>
      <c r="E1" s="2" t="s">
        <v>2</v>
      </c>
      <c r="F1" s="127" t="s">
        <v>3</v>
      </c>
      <c r="G1" s="126"/>
      <c r="H1" s="126"/>
      <c r="I1" s="3" t="s">
        <v>2</v>
      </c>
      <c r="J1" s="114" t="s">
        <v>4</v>
      </c>
      <c r="K1" s="115"/>
      <c r="L1" s="116"/>
      <c r="M1" s="2" t="s">
        <v>2</v>
      </c>
      <c r="N1" s="114" t="s">
        <v>5</v>
      </c>
      <c r="O1" s="115"/>
      <c r="P1" s="116"/>
      <c r="Q1" s="114" t="s">
        <v>6</v>
      </c>
      <c r="R1" s="115"/>
      <c r="S1" s="116"/>
      <c r="T1" s="123" t="s">
        <v>2</v>
      </c>
      <c r="U1" s="115"/>
      <c r="V1" s="116"/>
      <c r="W1" s="124" t="s">
        <v>7</v>
      </c>
      <c r="X1" s="115"/>
      <c r="Y1" s="115"/>
      <c r="Z1" s="2" t="s">
        <v>8</v>
      </c>
      <c r="AA1" s="129" t="s">
        <v>9</v>
      </c>
      <c r="AB1" s="126"/>
      <c r="AC1" s="126"/>
      <c r="AD1" s="126"/>
      <c r="AE1" s="4" t="s">
        <v>2</v>
      </c>
      <c r="AF1" s="5" t="s">
        <v>10</v>
      </c>
      <c r="AG1" s="6" t="s">
        <v>11</v>
      </c>
      <c r="AH1" s="7" t="s">
        <v>12</v>
      </c>
    </row>
    <row r="2" spans="1:34" ht="15.75" customHeight="1" x14ac:dyDescent="0.2">
      <c r="A2" s="8" t="s">
        <v>13</v>
      </c>
      <c r="B2" s="9"/>
      <c r="C2" s="10"/>
      <c r="D2" s="11"/>
      <c r="E2" s="12"/>
      <c r="F2" s="13"/>
      <c r="G2" s="10"/>
      <c r="H2" s="11"/>
      <c r="I2" s="14">
        <f>B10-B11</f>
        <v>0</v>
      </c>
      <c r="J2" s="15"/>
      <c r="K2" s="16"/>
      <c r="L2" s="17"/>
      <c r="M2" s="14">
        <f>(MIN(J2,L2)-T5)</f>
        <v>0</v>
      </c>
      <c r="N2" s="18"/>
      <c r="O2" s="19"/>
      <c r="P2" s="20"/>
      <c r="Q2" s="21"/>
      <c r="R2" s="22"/>
      <c r="S2" s="23"/>
      <c r="T2" s="24"/>
      <c r="U2" s="25"/>
      <c r="V2" s="26"/>
      <c r="W2" s="27"/>
      <c r="X2" s="28"/>
      <c r="Y2" s="27"/>
      <c r="Z2" s="29"/>
      <c r="AA2" s="30" t="s">
        <v>14</v>
      </c>
      <c r="AB2" s="9"/>
      <c r="AC2" s="10"/>
      <c r="AD2" s="31"/>
      <c r="AE2" s="32"/>
      <c r="AF2" s="117" t="s">
        <v>15</v>
      </c>
      <c r="AG2" s="33"/>
      <c r="AH2" s="26"/>
    </row>
    <row r="3" spans="1:34" ht="15" customHeight="1" thickBot="1" x14ac:dyDescent="0.25">
      <c r="A3" s="34" t="s">
        <v>16</v>
      </c>
      <c r="B3" s="35"/>
      <c r="C3" s="36"/>
      <c r="D3" s="37"/>
      <c r="E3" s="38"/>
      <c r="F3" s="39"/>
      <c r="G3" s="36"/>
      <c r="H3" s="37"/>
      <c r="I3" s="40">
        <f>C10-C11</f>
        <v>0</v>
      </c>
      <c r="J3" s="41"/>
      <c r="K3" s="42"/>
      <c r="L3" s="43"/>
      <c r="M3" s="40">
        <f>(MIN(J3,L3)-T5)</f>
        <v>0</v>
      </c>
      <c r="N3" s="35"/>
      <c r="O3" s="36"/>
      <c r="P3" s="44"/>
      <c r="Q3" s="45"/>
      <c r="R3" s="46"/>
      <c r="S3" s="47"/>
      <c r="T3" s="48"/>
      <c r="U3" s="49"/>
      <c r="V3" s="50"/>
      <c r="W3" s="51"/>
      <c r="X3" s="52"/>
      <c r="Y3" s="51"/>
      <c r="Z3" s="53">
        <f t="shared" ref="Z3:Z12" si="0">(MIN(J3,L3)-MIN(B3,D3))</f>
        <v>0</v>
      </c>
      <c r="AA3" s="54" t="s">
        <v>17</v>
      </c>
      <c r="AB3" s="35"/>
      <c r="AC3" s="36"/>
      <c r="AD3" s="44"/>
      <c r="AE3" s="38"/>
      <c r="AF3" s="118"/>
      <c r="AG3" s="55"/>
      <c r="AH3" s="50"/>
    </row>
    <row r="4" spans="1:34" ht="16.5" customHeight="1" thickBot="1" x14ac:dyDescent="0.25">
      <c r="A4" s="34" t="s">
        <v>18</v>
      </c>
      <c r="B4" s="35"/>
      <c r="C4" s="36"/>
      <c r="D4" s="37"/>
      <c r="E4" s="38"/>
      <c r="F4" s="39"/>
      <c r="G4" s="36"/>
      <c r="H4" s="37"/>
      <c r="I4" s="40">
        <f>D10-D11</f>
        <v>0</v>
      </c>
      <c r="J4" s="41"/>
      <c r="K4" s="42"/>
      <c r="L4" s="43"/>
      <c r="M4" s="40">
        <f>(MIN(J4,L4)-T5)</f>
        <v>0</v>
      </c>
      <c r="N4" s="35"/>
      <c r="O4" s="36"/>
      <c r="P4" s="44"/>
      <c r="Q4" s="45"/>
      <c r="R4" s="46"/>
      <c r="S4" s="47"/>
      <c r="T4" s="48"/>
      <c r="U4" s="56"/>
      <c r="V4" s="57"/>
      <c r="W4" s="58"/>
      <c r="X4" s="59"/>
      <c r="Y4" s="60"/>
      <c r="Z4" s="53">
        <f t="shared" si="0"/>
        <v>0</v>
      </c>
      <c r="AA4" s="61" t="s">
        <v>19</v>
      </c>
      <c r="AB4" s="62"/>
      <c r="AC4" s="63"/>
      <c r="AD4" s="64"/>
      <c r="AE4" s="65"/>
      <c r="AF4" s="128" t="s">
        <v>20</v>
      </c>
      <c r="AG4" s="66"/>
      <c r="AH4" s="57"/>
    </row>
    <row r="5" spans="1:34" ht="16.5" customHeight="1" thickBot="1" x14ac:dyDescent="0.25">
      <c r="A5" s="34" t="s">
        <v>21</v>
      </c>
      <c r="B5" s="35"/>
      <c r="C5" s="36"/>
      <c r="D5" s="37"/>
      <c r="E5" s="67"/>
      <c r="F5" s="39"/>
      <c r="G5" s="36"/>
      <c r="H5" s="37"/>
      <c r="I5" s="40"/>
      <c r="J5" s="41"/>
      <c r="K5" s="42"/>
      <c r="L5" s="43"/>
      <c r="M5" s="40">
        <f>(MIN(J5,L5)-T5)</f>
        <v>0</v>
      </c>
      <c r="N5" s="35"/>
      <c r="O5" s="36"/>
      <c r="P5" s="44"/>
      <c r="Q5" s="45"/>
      <c r="R5" s="46"/>
      <c r="S5" s="47"/>
      <c r="T5" s="48"/>
      <c r="U5" s="56"/>
      <c r="V5" s="57"/>
      <c r="W5" s="68"/>
      <c r="X5" s="69"/>
      <c r="Y5" s="70"/>
      <c r="Z5" s="53">
        <f t="shared" si="0"/>
        <v>0</v>
      </c>
      <c r="AA5" s="30" t="s">
        <v>14</v>
      </c>
      <c r="AB5" s="71"/>
      <c r="AC5" s="72"/>
      <c r="AD5" s="31"/>
      <c r="AE5" s="38"/>
      <c r="AF5" s="118"/>
      <c r="AG5" s="66"/>
      <c r="AH5" s="57"/>
    </row>
    <row r="6" spans="1:34" ht="15.75" customHeight="1" x14ac:dyDescent="0.2">
      <c r="A6" s="34" t="s">
        <v>22</v>
      </c>
      <c r="B6" s="35"/>
      <c r="C6" s="36"/>
      <c r="D6" s="37"/>
      <c r="E6" s="38"/>
      <c r="F6" s="39"/>
      <c r="G6" s="36"/>
      <c r="H6" s="37"/>
      <c r="I6" s="40">
        <f>F10-F11</f>
        <v>0</v>
      </c>
      <c r="J6" s="41"/>
      <c r="K6" s="42"/>
      <c r="L6" s="43"/>
      <c r="M6" s="40">
        <f>(MIN(J6,L6)-T5)</f>
        <v>0</v>
      </c>
      <c r="N6" s="35"/>
      <c r="O6" s="36"/>
      <c r="P6" s="44"/>
      <c r="Q6" s="45"/>
      <c r="R6" s="46"/>
      <c r="S6" s="47"/>
      <c r="T6" s="48"/>
      <c r="U6" s="73"/>
      <c r="V6" s="74"/>
      <c r="W6" s="75"/>
      <c r="X6" s="52"/>
      <c r="Y6" s="51"/>
      <c r="Z6" s="53">
        <f t="shared" si="0"/>
        <v>0</v>
      </c>
      <c r="AA6" s="54" t="s">
        <v>17</v>
      </c>
      <c r="AB6" s="35"/>
      <c r="AC6" s="36"/>
      <c r="AD6" s="44"/>
      <c r="AE6" s="65"/>
      <c r="AF6" s="117" t="s">
        <v>23</v>
      </c>
      <c r="AG6" s="76"/>
      <c r="AH6" s="74"/>
    </row>
    <row r="7" spans="1:34" ht="15" customHeight="1" thickBot="1" x14ac:dyDescent="0.25">
      <c r="A7" s="34" t="s">
        <v>24</v>
      </c>
      <c r="B7" s="35"/>
      <c r="C7" s="36"/>
      <c r="D7" s="37"/>
      <c r="E7" s="38"/>
      <c r="F7" s="39"/>
      <c r="G7" s="36"/>
      <c r="H7" s="37"/>
      <c r="I7" s="40">
        <f>G10-G11</f>
        <v>0</v>
      </c>
      <c r="J7" s="41"/>
      <c r="K7" s="42"/>
      <c r="L7" s="43"/>
      <c r="M7" s="40">
        <f>(MIN(J7,L7)-T5)</f>
        <v>0</v>
      </c>
      <c r="N7" s="35"/>
      <c r="O7" s="36"/>
      <c r="P7" s="44"/>
      <c r="Q7" s="45"/>
      <c r="R7" s="46"/>
      <c r="S7" s="47"/>
      <c r="T7" s="48"/>
      <c r="U7" s="56"/>
      <c r="V7" s="57"/>
      <c r="W7" s="77"/>
      <c r="X7" s="59"/>
      <c r="Y7" s="58"/>
      <c r="Z7" s="53">
        <f t="shared" si="0"/>
        <v>0</v>
      </c>
      <c r="AA7" s="78" t="s">
        <v>19</v>
      </c>
      <c r="AB7" s="79"/>
      <c r="AC7" s="80"/>
      <c r="AD7" s="81"/>
      <c r="AE7" s="38"/>
      <c r="AF7" s="118"/>
      <c r="AG7" s="66"/>
      <c r="AH7" s="57"/>
    </row>
    <row r="8" spans="1:34" ht="15" customHeight="1" thickBot="1" x14ac:dyDescent="0.25">
      <c r="A8" s="82" t="s">
        <v>25</v>
      </c>
      <c r="B8" s="35"/>
      <c r="C8" s="36"/>
      <c r="D8" s="37"/>
      <c r="E8" s="38"/>
      <c r="F8" s="39"/>
      <c r="G8" s="36"/>
      <c r="H8" s="37"/>
      <c r="I8" s="40">
        <f>H10-H11</f>
        <v>0</v>
      </c>
      <c r="J8" s="41"/>
      <c r="K8" s="42"/>
      <c r="L8" s="43"/>
      <c r="M8" s="83">
        <f>(MIN(J8,L8)-T5)</f>
        <v>0</v>
      </c>
      <c r="N8" s="35"/>
      <c r="O8" s="36"/>
      <c r="P8" s="44"/>
      <c r="Q8" s="45"/>
      <c r="R8" s="46"/>
      <c r="S8" s="47"/>
      <c r="T8" s="48"/>
      <c r="U8" s="56"/>
      <c r="V8" s="57"/>
      <c r="W8" s="84"/>
      <c r="X8" s="85"/>
      <c r="Y8" s="86"/>
      <c r="Z8" s="53">
        <f t="shared" si="0"/>
        <v>0</v>
      </c>
      <c r="AA8" s="122" t="s">
        <v>26</v>
      </c>
      <c r="AB8" s="115"/>
      <c r="AC8" s="115"/>
      <c r="AD8" s="115"/>
      <c r="AE8" s="38"/>
      <c r="AF8" s="119" t="s">
        <v>27</v>
      </c>
      <c r="AG8" s="66"/>
      <c r="AH8" s="57"/>
    </row>
    <row r="9" spans="1:34" ht="15.75" customHeight="1" x14ac:dyDescent="0.2">
      <c r="A9" s="34" t="s">
        <v>28</v>
      </c>
      <c r="B9" s="35"/>
      <c r="C9" s="36"/>
      <c r="D9" s="37"/>
      <c r="E9" s="67"/>
      <c r="F9" s="39"/>
      <c r="G9" s="36"/>
      <c r="H9" s="37"/>
      <c r="I9" s="40"/>
      <c r="J9" s="41"/>
      <c r="K9" s="42"/>
      <c r="L9" s="43"/>
      <c r="M9" s="83">
        <f>(MIN(J9,L9)-T5)</f>
        <v>0</v>
      </c>
      <c r="N9" s="35"/>
      <c r="O9" s="36"/>
      <c r="P9" s="44"/>
      <c r="Q9" s="45"/>
      <c r="R9" s="46"/>
      <c r="S9" s="47"/>
      <c r="T9" s="48"/>
      <c r="U9" s="56"/>
      <c r="V9" s="57"/>
      <c r="W9" s="43"/>
      <c r="X9" s="87"/>
      <c r="Y9" s="88"/>
      <c r="Z9" s="53">
        <f t="shared" si="0"/>
        <v>0</v>
      </c>
      <c r="AA9" s="30" t="s">
        <v>29</v>
      </c>
      <c r="AB9" s="89"/>
      <c r="AC9" s="72"/>
      <c r="AD9" s="31"/>
      <c r="AE9" s="38"/>
      <c r="AF9" s="120"/>
      <c r="AG9" s="66"/>
      <c r="AH9" s="57"/>
    </row>
    <row r="10" spans="1:34" ht="15" customHeight="1" thickBot="1" x14ac:dyDescent="0.25">
      <c r="A10" s="82" t="s">
        <v>30</v>
      </c>
      <c r="B10" s="35"/>
      <c r="C10" s="36"/>
      <c r="D10" s="37"/>
      <c r="E10" s="67"/>
      <c r="F10" s="39"/>
      <c r="G10" s="36"/>
      <c r="H10" s="37"/>
      <c r="I10" s="40">
        <f>J10-J11</f>
        <v>0</v>
      </c>
      <c r="J10" s="41"/>
      <c r="K10" s="42"/>
      <c r="L10" s="43"/>
      <c r="M10" s="83">
        <f>(MIN(J10,L10)-T5)</f>
        <v>0</v>
      </c>
      <c r="N10" s="35"/>
      <c r="O10" s="36"/>
      <c r="P10" s="44"/>
      <c r="Q10" s="45"/>
      <c r="R10" s="46"/>
      <c r="S10" s="47"/>
      <c r="T10" s="48"/>
      <c r="U10" s="56"/>
      <c r="V10" s="57"/>
      <c r="W10" s="90"/>
      <c r="X10" s="91"/>
      <c r="Y10" s="92"/>
      <c r="Z10" s="53">
        <f t="shared" si="0"/>
        <v>0</v>
      </c>
      <c r="AA10" s="78" t="s">
        <v>14</v>
      </c>
      <c r="AB10" s="93"/>
      <c r="AC10" s="80"/>
      <c r="AD10" s="81"/>
      <c r="AE10" s="38"/>
      <c r="AF10" s="121"/>
      <c r="AG10" s="66"/>
      <c r="AH10" s="57"/>
    </row>
    <row r="11" spans="1:34" ht="15.75" customHeight="1" x14ac:dyDescent="0.2">
      <c r="A11" s="82" t="s">
        <v>31</v>
      </c>
      <c r="B11" s="35"/>
      <c r="C11" s="36"/>
      <c r="D11" s="37"/>
      <c r="E11" s="67"/>
      <c r="F11" s="39"/>
      <c r="G11" s="36"/>
      <c r="H11" s="37"/>
      <c r="I11" s="40">
        <f>K10-K11</f>
        <v>0</v>
      </c>
      <c r="J11" s="41"/>
      <c r="K11" s="42"/>
      <c r="L11" s="43"/>
      <c r="M11" s="40">
        <f>(MIN(J11,L11)-T5)</f>
        <v>0</v>
      </c>
      <c r="N11" s="35"/>
      <c r="O11" s="36"/>
      <c r="P11" s="44"/>
      <c r="Q11" s="45"/>
      <c r="R11" s="46"/>
      <c r="S11" s="47"/>
      <c r="T11" s="48"/>
      <c r="U11" s="56"/>
      <c r="V11" s="57"/>
      <c r="W11" s="94"/>
      <c r="X11" s="94"/>
      <c r="Y11" s="94"/>
      <c r="Z11" s="53">
        <f t="shared" si="0"/>
        <v>0</v>
      </c>
      <c r="AA11" s="95" t="s">
        <v>29</v>
      </c>
      <c r="AB11" s="96"/>
      <c r="AC11" s="97"/>
      <c r="AD11" s="20"/>
      <c r="AE11" s="38"/>
      <c r="AF11" s="119" t="s">
        <v>32</v>
      </c>
      <c r="AG11" s="66"/>
      <c r="AH11" s="57"/>
    </row>
    <row r="12" spans="1:34" ht="15" customHeight="1" thickBot="1" x14ac:dyDescent="0.25">
      <c r="A12" s="98" t="s">
        <v>19</v>
      </c>
      <c r="B12" s="79"/>
      <c r="C12" s="80"/>
      <c r="D12" s="99"/>
      <c r="E12" s="100"/>
      <c r="F12" s="93"/>
      <c r="G12" s="80"/>
      <c r="H12" s="99"/>
      <c r="I12" s="101">
        <f>L10-L11</f>
        <v>0</v>
      </c>
      <c r="J12" s="102"/>
      <c r="K12" s="103"/>
      <c r="L12" s="90"/>
      <c r="M12" s="101">
        <f>(MIN(J12,L12)-T5)</f>
        <v>0</v>
      </c>
      <c r="N12" s="79"/>
      <c r="O12" s="80"/>
      <c r="P12" s="81"/>
      <c r="Q12" s="104"/>
      <c r="R12" s="105"/>
      <c r="S12" s="106"/>
      <c r="T12" s="107"/>
      <c r="U12" s="108"/>
      <c r="V12" s="109"/>
      <c r="W12" s="110"/>
      <c r="X12" s="110"/>
      <c r="Y12" s="110"/>
      <c r="Z12" s="111">
        <f t="shared" si="0"/>
        <v>0</v>
      </c>
      <c r="AA12" s="78" t="s">
        <v>14</v>
      </c>
      <c r="AB12" s="93"/>
      <c r="AC12" s="80"/>
      <c r="AD12" s="81"/>
      <c r="AE12" s="112"/>
      <c r="AF12" s="121"/>
      <c r="AG12" s="113"/>
      <c r="AH12" s="109"/>
    </row>
  </sheetData>
  <mergeCells count="14">
    <mergeCell ref="B1:D1"/>
    <mergeCell ref="F1:H1"/>
    <mergeCell ref="AF11:AF12"/>
    <mergeCell ref="AF4:AF5"/>
    <mergeCell ref="N1:P1"/>
    <mergeCell ref="Q1:S1"/>
    <mergeCell ref="AF2:AF3"/>
    <mergeCell ref="AA1:AD1"/>
    <mergeCell ref="J1:L1"/>
    <mergeCell ref="AF6:AF7"/>
    <mergeCell ref="AF8:AF10"/>
    <mergeCell ref="AA8:AD8"/>
    <mergeCell ref="T1:V1"/>
    <mergeCell ref="W1:Y1"/>
  </mergeCells>
  <phoneticPr fontId="1" type="noConversion"/>
  <conditionalFormatting sqref="B2:B12">
    <cfRule type="top10" dxfId="1287" priority="139" bottom="1" rank="1"/>
    <cfRule type="top10" dxfId="1286" priority="140" rank="1"/>
  </conditionalFormatting>
  <conditionalFormatting sqref="B2:D2">
    <cfRule type="cellIs" dxfId="1285" priority="74" operator="greaterThan">
      <formula>B4</formula>
    </cfRule>
  </conditionalFormatting>
  <conditionalFormatting sqref="B3:D3">
    <cfRule type="cellIs" dxfId="1284" priority="75" operator="greaterThan">
      <formula>B4</formula>
    </cfRule>
  </conditionalFormatting>
  <conditionalFormatting sqref="B6:D6">
    <cfRule type="cellIs" dxfId="1283" priority="76" operator="greaterThan">
      <formula>B4</formula>
    </cfRule>
  </conditionalFormatting>
  <conditionalFormatting sqref="B7:D7">
    <cfRule type="cellIs" dxfId="1282" priority="77" operator="greaterThan">
      <formula>B4</formula>
    </cfRule>
  </conditionalFormatting>
  <conditionalFormatting sqref="B8:D8">
    <cfRule type="cellIs" dxfId="1281" priority="78" operator="greaterThan">
      <formula>B4</formula>
    </cfRule>
  </conditionalFormatting>
  <conditionalFormatting sqref="B9:D9">
    <cfRule type="cellIs" dxfId="1280" priority="80" operator="greaterThan">
      <formula>B4</formula>
    </cfRule>
  </conditionalFormatting>
  <conditionalFormatting sqref="B10:D10">
    <cfRule type="cellIs" dxfId="1279" priority="79" operator="greaterThan">
      <formula>B4</formula>
    </cfRule>
  </conditionalFormatting>
  <conditionalFormatting sqref="C2:C12">
    <cfRule type="top10" dxfId="1278" priority="83" bottom="1" rank="1"/>
    <cfRule type="top10" dxfId="1277" priority="84" rank="1"/>
  </conditionalFormatting>
  <conditionalFormatting sqref="D2:D12">
    <cfRule type="top10" dxfId="1276" priority="81" bottom="1" rank="1"/>
    <cfRule type="top10" dxfId="1275" priority="82" rank="1"/>
  </conditionalFormatting>
  <conditionalFormatting sqref="E2:E4">
    <cfRule type="top10" dxfId="1274" priority="14" bottom="1" rank="1"/>
    <cfRule type="top10" dxfId="1273" priority="15" rank="1"/>
  </conditionalFormatting>
  <conditionalFormatting sqref="E6:E8">
    <cfRule type="top10" dxfId="1272" priority="12" bottom="1" rank="1"/>
    <cfRule type="top10" dxfId="1271" priority="13" rank="1"/>
  </conditionalFormatting>
  <conditionalFormatting sqref="E10:E12">
    <cfRule type="top10" dxfId="1270" priority="10" bottom="1" rank="1"/>
    <cfRule type="top10" dxfId="1269" priority="11" rank="1"/>
  </conditionalFormatting>
  <conditionalFormatting sqref="F2:F12">
    <cfRule type="top10" dxfId="1268" priority="72" bottom="1" rank="1"/>
    <cfRule type="top10" dxfId="1267" priority="73" rank="1"/>
  </conditionalFormatting>
  <conditionalFormatting sqref="F2:H2">
    <cfRule type="cellIs" dxfId="1266" priority="61" operator="greaterThan">
      <formula>F4</formula>
    </cfRule>
  </conditionalFormatting>
  <conditionalFormatting sqref="F3:H3">
    <cfRule type="cellIs" dxfId="1265" priority="62" operator="greaterThan">
      <formula>F4</formula>
    </cfRule>
  </conditionalFormatting>
  <conditionalFormatting sqref="F6:H6">
    <cfRule type="cellIs" dxfId="1264" priority="63" operator="greaterThan">
      <formula>F4</formula>
    </cfRule>
  </conditionalFormatting>
  <conditionalFormatting sqref="F7:H7">
    <cfRule type="cellIs" dxfId="1263" priority="64" operator="greaterThan">
      <formula>F4</formula>
    </cfRule>
  </conditionalFormatting>
  <conditionalFormatting sqref="F8:H8">
    <cfRule type="cellIs" dxfId="1262" priority="65" operator="greaterThan">
      <formula>F4</formula>
    </cfRule>
  </conditionalFormatting>
  <conditionalFormatting sqref="F9:H9">
    <cfRule type="cellIs" dxfId="1261" priority="67" operator="greaterThan">
      <formula>F4</formula>
    </cfRule>
  </conditionalFormatting>
  <conditionalFormatting sqref="F10:H10">
    <cfRule type="cellIs" dxfId="1260" priority="66" operator="greaterThan">
      <formula>F4</formula>
    </cfRule>
  </conditionalFormatting>
  <conditionalFormatting sqref="G2:G12">
    <cfRule type="top10" dxfId="1259" priority="70" bottom="1" rank="1"/>
    <cfRule type="top10" dxfId="1258" priority="71" rank="1"/>
  </conditionalFormatting>
  <conditionalFormatting sqref="H2:H12">
    <cfRule type="top10" dxfId="1257" priority="68" bottom="1" rank="1"/>
    <cfRule type="top10" dxfId="1256" priority="69" rank="1"/>
  </conditionalFormatting>
  <conditionalFormatting sqref="I2:I4">
    <cfRule type="top10" dxfId="1255" priority="8" bottom="1" rank="1"/>
    <cfRule type="top10" dxfId="1254" priority="9" rank="1"/>
  </conditionalFormatting>
  <conditionalFormatting sqref="I6:I8">
    <cfRule type="top10" dxfId="1253" priority="6" bottom="1" rank="1"/>
    <cfRule type="top10" dxfId="1252" priority="7" rank="1"/>
  </conditionalFormatting>
  <conditionalFormatting sqref="I10:I12">
    <cfRule type="top10" dxfId="1251" priority="4" bottom="1" rank="1"/>
    <cfRule type="top10" dxfId="1250" priority="5" rank="1"/>
  </conditionalFormatting>
  <conditionalFormatting sqref="J2:J12">
    <cfRule type="top10" dxfId="1249" priority="20" bottom="1" rank="1"/>
    <cfRule type="top10" dxfId="1248" priority="21" rank="1"/>
  </conditionalFormatting>
  <conditionalFormatting sqref="J1:L1">
    <cfRule type="top10" dxfId="1247" priority="22" bottom="1" rank="1"/>
    <cfRule type="top10" dxfId="1246" priority="23" rank="1"/>
  </conditionalFormatting>
  <conditionalFormatting sqref="J4:L4">
    <cfRule type="cellIs" dxfId="1245" priority="1" operator="greaterThan">
      <formula>J11</formula>
    </cfRule>
  </conditionalFormatting>
  <conditionalFormatting sqref="J8:L8">
    <cfRule type="cellIs" dxfId="1244" priority="3" operator="greaterThan">
      <formula>J10</formula>
    </cfRule>
  </conditionalFormatting>
  <conditionalFormatting sqref="J10:L10">
    <cfRule type="cellIs" dxfId="1243" priority="2" operator="greaterThan">
      <formula>J11</formula>
    </cfRule>
  </conditionalFormatting>
  <conditionalFormatting sqref="K2:K12">
    <cfRule type="top10" dxfId="1242" priority="18" bottom="1" rank="1"/>
    <cfRule type="top10" dxfId="1241" priority="19" rank="1"/>
  </conditionalFormatting>
  <conditionalFormatting sqref="L2:L12">
    <cfRule type="top10" dxfId="1240" priority="16" bottom="1" rank="1"/>
    <cfRule type="top10" dxfId="1239" priority="17" rank="1"/>
  </conditionalFormatting>
  <conditionalFormatting sqref="M2:M12">
    <cfRule type="cellIs" dxfId="1238" priority="137" operator="lessThan">
      <formula>0</formula>
    </cfRule>
    <cfRule type="cellIs" dxfId="1237" priority="138" operator="greaterThan">
      <formula>0</formula>
    </cfRule>
  </conditionalFormatting>
  <conditionalFormatting sqref="N2:N12">
    <cfRule type="top10" dxfId="1236" priority="131" bottom="1" rank="1"/>
    <cfRule type="top10" dxfId="1235" priority="132" rank="1"/>
  </conditionalFormatting>
  <conditionalFormatting sqref="N9">
    <cfRule type="cellIs" dxfId="1234" priority="135" stopIfTrue="1" operator="lessThan">
      <formula>N2</formula>
    </cfRule>
    <cfRule type="cellIs" dxfId="1233" priority="136" operator="greaterThan">
      <formula>N2</formula>
    </cfRule>
  </conditionalFormatting>
  <conditionalFormatting sqref="N10">
    <cfRule type="cellIs" dxfId="1232" priority="133" stopIfTrue="1" operator="lessThan">
      <formula>N2</formula>
    </cfRule>
    <cfRule type="cellIs" dxfId="1231" priority="134" stopIfTrue="1" operator="greaterThan">
      <formula>N2</formula>
    </cfRule>
  </conditionalFormatting>
  <conditionalFormatting sqref="N1:P1">
    <cfRule type="top10" dxfId="1230" priority="57" bottom="1" rank="1"/>
    <cfRule type="top10" dxfId="1229" priority="58" rank="1"/>
  </conditionalFormatting>
  <conditionalFormatting sqref="N8:P8">
    <cfRule type="top10" dxfId="1228" priority="95" bottom="1" rank="1"/>
    <cfRule type="top10" dxfId="1227" priority="96" rank="1"/>
    <cfRule type="cellIs" dxfId="1226" priority="123" operator="lessThan">
      <formula>N2</formula>
    </cfRule>
    <cfRule type="cellIs" dxfId="1225" priority="124" operator="greaterThan">
      <formula>N2</formula>
    </cfRule>
  </conditionalFormatting>
  <conditionalFormatting sqref="N9:P9">
    <cfRule type="top10" dxfId="1224" priority="93" bottom="1" rank="1"/>
    <cfRule type="top10" dxfId="1223" priority="94" rank="1"/>
  </conditionalFormatting>
  <conditionalFormatting sqref="N10:P10">
    <cfRule type="top10" dxfId="1222" priority="91" bottom="1" rank="1"/>
    <cfRule type="top10" dxfId="1221" priority="92" rank="1"/>
  </conditionalFormatting>
  <conditionalFormatting sqref="O2:O12">
    <cfRule type="top10" dxfId="1220" priority="125" bottom="1" rank="1"/>
    <cfRule type="top10" dxfId="1219" priority="126" rank="1"/>
  </conditionalFormatting>
  <conditionalFormatting sqref="O9">
    <cfRule type="cellIs" dxfId="1218" priority="129" stopIfTrue="1" operator="lessThan">
      <formula>O2</formula>
    </cfRule>
    <cfRule type="cellIs" dxfId="1217" priority="130" operator="greaterThan">
      <formula>O2</formula>
    </cfRule>
  </conditionalFormatting>
  <conditionalFormatting sqref="O10">
    <cfRule type="cellIs" dxfId="1216" priority="127" stopIfTrue="1" operator="lessThan">
      <formula>O2</formula>
    </cfRule>
    <cfRule type="cellIs" dxfId="1215" priority="128" stopIfTrue="1" operator="greaterThan">
      <formula>O2</formula>
    </cfRule>
  </conditionalFormatting>
  <conditionalFormatting sqref="P2:P12">
    <cfRule type="top10" dxfId="1214" priority="117" bottom="1" rank="1"/>
    <cfRule type="top10" dxfId="1213" priority="118" rank="1"/>
  </conditionalFormatting>
  <conditionalFormatting sqref="P9">
    <cfRule type="cellIs" dxfId="1212" priority="121" stopIfTrue="1" operator="lessThan">
      <formula>P2</formula>
    </cfRule>
    <cfRule type="cellIs" dxfId="1211" priority="122" operator="greaterThan">
      <formula>P2</formula>
    </cfRule>
  </conditionalFormatting>
  <conditionalFormatting sqref="P10">
    <cfRule type="cellIs" dxfId="1210" priority="119" stopIfTrue="1" operator="lessThan">
      <formula>P2</formula>
    </cfRule>
    <cfRule type="cellIs" dxfId="1209" priority="120" stopIfTrue="1" operator="greaterThan">
      <formula>P2</formula>
    </cfRule>
  </conditionalFormatting>
  <conditionalFormatting sqref="R2:R12">
    <cfRule type="top10" dxfId="1208" priority="111" bottom="1" rank="1"/>
    <cfRule type="top10" dxfId="1207" priority="112" rank="1"/>
  </conditionalFormatting>
  <conditionalFormatting sqref="R9">
    <cfRule type="cellIs" dxfId="1206" priority="115" stopIfTrue="1" operator="lessThan">
      <formula>R2</formula>
    </cfRule>
    <cfRule type="cellIs" dxfId="1205" priority="116" operator="greaterThan">
      <formula>R2</formula>
    </cfRule>
  </conditionalFormatting>
  <conditionalFormatting sqref="R10">
    <cfRule type="cellIs" dxfId="1204" priority="113" stopIfTrue="1" operator="lessThan">
      <formula>R2</formula>
    </cfRule>
    <cfRule type="cellIs" dxfId="1203" priority="114" stopIfTrue="1" operator="greaterThan">
      <formula>R2</formula>
    </cfRule>
  </conditionalFormatting>
  <conditionalFormatting sqref="R1:T1">
    <cfRule type="top10" dxfId="1202" priority="35" bottom="1" rank="1"/>
    <cfRule type="top10" dxfId="1201" priority="36" rank="1"/>
  </conditionalFormatting>
  <conditionalFormatting sqref="R8:T8">
    <cfRule type="top10" dxfId="1200" priority="89" bottom="1" rank="1"/>
    <cfRule type="top10" dxfId="1199" priority="90" rank="1"/>
    <cfRule type="cellIs" dxfId="1198" priority="103" operator="lessThan">
      <formula>R2</formula>
    </cfRule>
    <cfRule type="cellIs" dxfId="1197" priority="104" operator="greaterThan">
      <formula>R2</formula>
    </cfRule>
  </conditionalFormatting>
  <conditionalFormatting sqref="R9:T9">
    <cfRule type="top10" dxfId="1196" priority="87" bottom="1" rank="1"/>
    <cfRule type="top10" dxfId="1195" priority="88" rank="1"/>
  </conditionalFormatting>
  <conditionalFormatting sqref="R10:T10">
    <cfRule type="top10" dxfId="1194" priority="85" bottom="1" rank="1"/>
    <cfRule type="top10" dxfId="1193" priority="86" rank="1"/>
  </conditionalFormatting>
  <conditionalFormatting sqref="S2:S12">
    <cfRule type="top10" dxfId="1192" priority="105" bottom="1" rank="1"/>
    <cfRule type="top10" dxfId="1191" priority="106" rank="1"/>
  </conditionalFormatting>
  <conditionalFormatting sqref="S9">
    <cfRule type="cellIs" dxfId="1190" priority="109" stopIfTrue="1" operator="lessThan">
      <formula>S2</formula>
    </cfRule>
    <cfRule type="cellIs" dxfId="1189" priority="110" operator="greaterThan">
      <formula>S2</formula>
    </cfRule>
  </conditionalFormatting>
  <conditionalFormatting sqref="S10">
    <cfRule type="cellIs" dxfId="1188" priority="107" stopIfTrue="1" operator="lessThan">
      <formula>S2</formula>
    </cfRule>
    <cfRule type="cellIs" dxfId="1187" priority="108" stopIfTrue="1" operator="greaterThan">
      <formula>S2</formula>
    </cfRule>
  </conditionalFormatting>
  <conditionalFormatting sqref="T2:T12">
    <cfRule type="top10" dxfId="1186" priority="97" bottom="1" rank="1"/>
    <cfRule type="top10" dxfId="1185" priority="98" rank="1"/>
  </conditionalFormatting>
  <conditionalFormatting sqref="T9">
    <cfRule type="cellIs" dxfId="1184" priority="101" stopIfTrue="1" operator="lessThan">
      <formula>T2</formula>
    </cfRule>
    <cfRule type="cellIs" dxfId="1183" priority="102" operator="greaterThan">
      <formula>T2</formula>
    </cfRule>
  </conditionalFormatting>
  <conditionalFormatting sqref="T10">
    <cfRule type="cellIs" dxfId="1182" priority="99" stopIfTrue="1" operator="lessThan">
      <formula>T2</formula>
    </cfRule>
    <cfRule type="cellIs" dxfId="1181" priority="100" stopIfTrue="1" operator="greaterThan">
      <formula>T2</formula>
    </cfRule>
  </conditionalFormatting>
  <conditionalFormatting sqref="V7:V11">
    <cfRule type="top10" dxfId="1180" priority="29" bottom="1" rank="1"/>
    <cfRule type="top10" dxfId="1179" priority="30" rank="1"/>
  </conditionalFormatting>
  <conditionalFormatting sqref="V1:X1">
    <cfRule type="top10" dxfId="1178" priority="33" bottom="1" rank="1"/>
    <cfRule type="top10" dxfId="1177" priority="34" rank="1"/>
  </conditionalFormatting>
  <conditionalFormatting sqref="V8:X8">
    <cfRule type="cellIs" dxfId="1176" priority="24" operator="greaterThan">
      <formula>V9</formula>
    </cfRule>
  </conditionalFormatting>
  <conditionalFormatting sqref="W7:W11">
    <cfRule type="top10" dxfId="1175" priority="27" bottom="1" rank="1"/>
    <cfRule type="top10" dxfId="1174" priority="28" rank="1"/>
  </conditionalFormatting>
  <conditionalFormatting sqref="X7:X11">
    <cfRule type="top10" dxfId="1173" priority="25" bottom="1" rank="1"/>
    <cfRule type="top10" dxfId="1172" priority="26" rank="1"/>
  </conditionalFormatting>
  <conditionalFormatting sqref="Z6:Z7">
    <cfRule type="cellIs" dxfId="1171" priority="160" operator="lessThan">
      <formula>Z2</formula>
    </cfRule>
    <cfRule type="cellIs" dxfId="1170" priority="161" operator="greaterThan">
      <formula>Z2</formula>
    </cfRule>
  </conditionalFormatting>
  <conditionalFormatting sqref="Z9:Z10">
    <cfRule type="top10" dxfId="1169" priority="47" bottom="1" rank="1"/>
    <cfRule type="top10" dxfId="1168" priority="48" rank="1"/>
  </conditionalFormatting>
  <conditionalFormatting sqref="Z11:Z12">
    <cfRule type="top10" dxfId="1167" priority="41" bottom="1" rank="1"/>
    <cfRule type="top10" dxfId="1166" priority="42" rank="1"/>
  </conditionalFormatting>
  <conditionalFormatting sqref="Z9:AB10">
    <cfRule type="cellIs" dxfId="1165" priority="49" operator="lessThan">
      <formula>Z11</formula>
    </cfRule>
    <cfRule type="cellIs" dxfId="1164" priority="50" operator="greaterThan">
      <formula>Z11</formula>
    </cfRule>
  </conditionalFormatting>
  <conditionalFormatting sqref="AA9:AA10">
    <cfRule type="top10" dxfId="1163" priority="45" bottom="1" rank="1"/>
    <cfRule type="top10" dxfId="1162" priority="46" rank="1"/>
  </conditionalFormatting>
  <conditionalFormatting sqref="AA11:AA12">
    <cfRule type="top10" dxfId="1161" priority="39" bottom="1" rank="1"/>
    <cfRule type="top10" dxfId="1160" priority="40" rank="1"/>
  </conditionalFormatting>
  <conditionalFormatting sqref="AB6:AB7">
    <cfRule type="cellIs" dxfId="1159" priority="158" operator="lessThan">
      <formula>AB2</formula>
    </cfRule>
    <cfRule type="cellIs" dxfId="1158" priority="159" operator="greaterThan">
      <formula>AB2</formula>
    </cfRule>
  </conditionalFormatting>
  <conditionalFormatting sqref="AB9:AB10">
    <cfRule type="top10" dxfId="1157" priority="43" bottom="1" rank="1"/>
    <cfRule type="top10" dxfId="1156" priority="44" rank="1"/>
  </conditionalFormatting>
  <conditionalFormatting sqref="AB11:AB12">
    <cfRule type="top10" dxfId="1155" priority="37" bottom="1" rank="1"/>
    <cfRule type="top10" dxfId="1154" priority="38" rank="1"/>
  </conditionalFormatting>
  <conditionalFormatting sqref="AC5:AC7">
    <cfRule type="cellIs" dxfId="1153" priority="59" operator="lessThan">
      <formula>AC2</formula>
    </cfRule>
    <cfRule type="cellIs" dxfId="1152" priority="60" operator="greaterThan">
      <formula>AC2</formula>
    </cfRule>
  </conditionalFormatting>
  <conditionalFormatting sqref="AC10:AC12">
    <cfRule type="top10" dxfId="1151" priority="31" rank="1"/>
    <cfRule type="top10" dxfId="1150" priority="32" bottom="1" rank="1"/>
  </conditionalFormatting>
  <conditionalFormatting sqref="AE1:AG1">
    <cfRule type="top10" dxfId="1149" priority="55" bottom="1" rank="1"/>
    <cfRule type="top10" dxfId="1148" priority="56" rank="1"/>
  </conditionalFormatting>
  <conditionalFormatting sqref="AE2:AG2">
    <cfRule type="top10" dxfId="1147" priority="53" bottom="1" rank="1"/>
    <cfRule type="top10" dxfId="1146" priority="54" rank="1"/>
  </conditionalFormatting>
  <conditionalFormatting sqref="AE3:AG3">
    <cfRule type="top10" dxfId="1145" priority="51" bottom="1" rank="1"/>
    <cfRule type="top10" dxfId="1144" priority="52" rank="1"/>
  </conditionalFormatting>
  <conditionalFormatting sqref="AE4:AG4">
    <cfRule type="cellIs" dxfId="1143" priority="154" operator="lessThan">
      <formula>AE2</formula>
    </cfRule>
    <cfRule type="cellIs" dxfId="1142" priority="155" operator="greaterThan">
      <formula>AE2</formula>
    </cfRule>
  </conditionalFormatting>
  <conditionalFormatting sqref="AE5:AG5">
    <cfRule type="top10" dxfId="1141" priority="156" bottom="1" rank="1"/>
    <cfRule type="top10" dxfId="1140" priority="157" rank="1"/>
  </conditionalFormatting>
  <conditionalFormatting sqref="AE7:AG7">
    <cfRule type="top10" dxfId="1139" priority="152" bottom="1" rank="1"/>
    <cfRule type="top10" dxfId="1138" priority="153" rank="1"/>
  </conditionalFormatting>
  <conditionalFormatting sqref="AE8:AG8">
    <cfRule type="cellIs" dxfId="1137" priority="148" operator="lessThan">
      <formula>AE7</formula>
    </cfRule>
    <cfRule type="cellIs" dxfId="1136" priority="149" operator="greaterThan">
      <formula>AE7</formula>
    </cfRule>
  </conditionalFormatting>
  <conditionalFormatting sqref="AE9:AG9">
    <cfRule type="cellIs" dxfId="1135" priority="146" operator="lessThan">
      <formula>AE7</formula>
    </cfRule>
    <cfRule type="cellIs" dxfId="1134" priority="147" operator="greaterThan">
      <formula>AE7</formula>
    </cfRule>
  </conditionalFormatting>
  <conditionalFormatting sqref="AE10:AG10">
    <cfRule type="top10" dxfId="1133" priority="150" bottom="1" rank="1"/>
    <cfRule type="top10" dxfId="1132" priority="151" rank="1"/>
  </conditionalFormatting>
  <conditionalFormatting sqref="AE11:AG11">
    <cfRule type="cellIs" dxfId="1131" priority="144" operator="lessThan">
      <formula>0</formula>
    </cfRule>
    <cfRule type="cellIs" dxfId="1130" priority="145" operator="greaterThan">
      <formula>0</formula>
    </cfRule>
  </conditionalFormatting>
  <conditionalFormatting sqref="AE12:AG12">
    <cfRule type="top10" dxfId="1129" priority="141" bottom="1" rank="1"/>
    <cfRule type="cellIs" dxfId="1128" priority="142" operator="greaterThan">
      <formula>0</formula>
    </cfRule>
    <cfRule type="cellIs" dxfId="1127" priority="143" operator="lessThan">
      <formula>0</formula>
    </cfRule>
  </conditionalFormatting>
  <pageMargins left="0.7" right="0.7" top="0.75" bottom="0.75" header="0.3" footer="0.3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H12"/>
  <sheetViews>
    <sheetView workbookViewId="0">
      <selection activeCell="A4" sqref="A4"/>
    </sheetView>
  </sheetViews>
  <sheetFormatPr defaultRowHeight="14.25" x14ac:dyDescent="0.2"/>
  <sheetData>
    <row r="1" spans="1:34" ht="15" customHeight="1" thickBot="1" x14ac:dyDescent="0.25">
      <c r="A1" s="1" t="s">
        <v>33</v>
      </c>
      <c r="B1" s="125" t="s">
        <v>34</v>
      </c>
      <c r="C1" s="126"/>
      <c r="D1" s="126"/>
      <c r="E1" s="2" t="s">
        <v>2</v>
      </c>
      <c r="F1" s="127" t="s">
        <v>35</v>
      </c>
      <c r="G1" s="126"/>
      <c r="H1" s="126"/>
      <c r="I1" s="3" t="s">
        <v>2</v>
      </c>
      <c r="J1" s="114" t="s">
        <v>4</v>
      </c>
      <c r="K1" s="115"/>
      <c r="L1" s="116"/>
      <c r="M1" s="2" t="s">
        <v>2</v>
      </c>
      <c r="N1" s="114" t="s">
        <v>5</v>
      </c>
      <c r="O1" s="115"/>
      <c r="P1" s="116"/>
      <c r="Q1" s="114" t="s">
        <v>6</v>
      </c>
      <c r="R1" s="115"/>
      <c r="S1" s="116"/>
      <c r="T1" s="123" t="s">
        <v>2</v>
      </c>
      <c r="U1" s="115"/>
      <c r="V1" s="116"/>
      <c r="W1" s="124" t="s">
        <v>7</v>
      </c>
      <c r="X1" s="115"/>
      <c r="Y1" s="115"/>
      <c r="Z1" s="2" t="s">
        <v>8</v>
      </c>
      <c r="AA1" s="129" t="s">
        <v>9</v>
      </c>
      <c r="AB1" s="126"/>
      <c r="AC1" s="126"/>
      <c r="AD1" s="126"/>
      <c r="AE1" s="4" t="s">
        <v>2</v>
      </c>
      <c r="AF1" s="5" t="s">
        <v>10</v>
      </c>
      <c r="AG1" s="6" t="s">
        <v>11</v>
      </c>
      <c r="AH1" s="7" t="s">
        <v>12</v>
      </c>
    </row>
    <row r="2" spans="1:34" ht="15.75" customHeight="1" x14ac:dyDescent="0.2">
      <c r="A2" s="8" t="s">
        <v>13</v>
      </c>
      <c r="B2" s="9">
        <v>2.02</v>
      </c>
      <c r="C2" s="10">
        <v>3.04</v>
      </c>
      <c r="D2" s="11">
        <v>3.54</v>
      </c>
      <c r="E2" s="12"/>
      <c r="F2" s="13">
        <v>2</v>
      </c>
      <c r="G2" s="10">
        <v>3.09</v>
      </c>
      <c r="H2" s="11">
        <v>3.73</v>
      </c>
      <c r="I2" s="14">
        <f>B10-B11</f>
        <v>-1.97</v>
      </c>
      <c r="J2" s="15"/>
      <c r="K2" s="16"/>
      <c r="L2" s="17"/>
      <c r="M2" s="14">
        <f>(MIN(J2,L2)-T5)</f>
        <v>0</v>
      </c>
      <c r="N2" s="18">
        <v>0.92</v>
      </c>
      <c r="O2" s="19">
        <v>0.92</v>
      </c>
      <c r="P2" s="20">
        <v>0.92</v>
      </c>
      <c r="Q2" s="21"/>
      <c r="R2" s="22"/>
      <c r="S2" s="23"/>
      <c r="T2" s="24"/>
      <c r="U2" s="25"/>
      <c r="V2" s="26"/>
      <c r="W2" s="27"/>
      <c r="X2" s="28"/>
      <c r="Y2" s="27"/>
      <c r="Z2" s="29"/>
      <c r="AA2" s="30" t="s">
        <v>14</v>
      </c>
      <c r="AB2" s="9"/>
      <c r="AC2" s="10"/>
      <c r="AD2" s="31"/>
      <c r="AE2" s="32"/>
      <c r="AF2" s="117" t="s">
        <v>36</v>
      </c>
      <c r="AG2" s="33"/>
      <c r="AH2" s="26"/>
    </row>
    <row r="3" spans="1:34" ht="15" customHeight="1" thickBot="1" x14ac:dyDescent="0.25">
      <c r="A3" s="34" t="s">
        <v>16</v>
      </c>
      <c r="B3" s="35">
        <v>2.0499999999999998</v>
      </c>
      <c r="C3" s="36">
        <v>3.1</v>
      </c>
      <c r="D3" s="37">
        <v>3.5</v>
      </c>
      <c r="E3" s="38"/>
      <c r="F3" s="39">
        <v>2</v>
      </c>
      <c r="G3" s="36">
        <v>3.25</v>
      </c>
      <c r="H3" s="37">
        <v>3.4</v>
      </c>
      <c r="I3" s="40">
        <f>C10-C11</f>
        <v>-3</v>
      </c>
      <c r="J3" s="41"/>
      <c r="K3" s="42"/>
      <c r="L3" s="43"/>
      <c r="M3" s="40">
        <f>(MIN(J3,L3)-T5)</f>
        <v>0</v>
      </c>
      <c r="N3" s="35">
        <v>0.92</v>
      </c>
      <c r="O3" s="36">
        <v>0.96</v>
      </c>
      <c r="P3" s="44">
        <v>0.84</v>
      </c>
      <c r="Q3" s="45"/>
      <c r="R3" s="46"/>
      <c r="S3" s="47"/>
      <c r="T3" s="48"/>
      <c r="U3" s="49"/>
      <c r="V3" s="50"/>
      <c r="W3" s="51"/>
      <c r="X3" s="52"/>
      <c r="Y3" s="51"/>
      <c r="Z3" s="53">
        <f t="shared" ref="Z3:Z12" si="0">(MIN(J3,L3)-MIN(B3,D3))</f>
        <v>-2.0499999999999998</v>
      </c>
      <c r="AA3" s="54" t="s">
        <v>17</v>
      </c>
      <c r="AB3" s="35"/>
      <c r="AC3" s="36"/>
      <c r="AD3" s="44"/>
      <c r="AE3" s="38"/>
      <c r="AF3" s="118"/>
      <c r="AG3" s="55"/>
      <c r="AH3" s="50"/>
    </row>
    <row r="4" spans="1:34" ht="16.5" customHeight="1" thickBot="1" x14ac:dyDescent="0.25">
      <c r="A4" s="34" t="s">
        <v>18</v>
      </c>
      <c r="B4" s="35">
        <v>1.95</v>
      </c>
      <c r="C4" s="36">
        <v>3.3</v>
      </c>
      <c r="D4" s="37">
        <v>4</v>
      </c>
      <c r="E4" s="38"/>
      <c r="F4" s="39">
        <v>2.0499999999999998</v>
      </c>
      <c r="G4" s="36">
        <v>3.25</v>
      </c>
      <c r="H4" s="37">
        <v>3.8</v>
      </c>
      <c r="I4" s="40">
        <f>D10-D11</f>
        <v>-3.65</v>
      </c>
      <c r="J4" s="41"/>
      <c r="K4" s="42"/>
      <c r="L4" s="43"/>
      <c r="M4" s="40">
        <f>(MIN(J4,L4)-T5)</f>
        <v>0</v>
      </c>
      <c r="N4" s="35">
        <v>0.94</v>
      </c>
      <c r="O4" s="36">
        <v>0.96</v>
      </c>
      <c r="P4" s="44">
        <v>0.93</v>
      </c>
      <c r="Q4" s="45"/>
      <c r="R4" s="46"/>
      <c r="S4" s="47"/>
      <c r="T4" s="48"/>
      <c r="U4" s="56"/>
      <c r="V4" s="57"/>
      <c r="W4" s="58">
        <v>1.79</v>
      </c>
      <c r="X4" s="59" t="s">
        <v>37</v>
      </c>
      <c r="Y4" s="60">
        <v>2.0499999999999998</v>
      </c>
      <c r="Z4" s="53">
        <f t="shared" si="0"/>
        <v>-1.95</v>
      </c>
      <c r="AA4" s="61" t="s">
        <v>19</v>
      </c>
      <c r="AB4" s="62"/>
      <c r="AC4" s="63"/>
      <c r="AD4" s="64"/>
      <c r="AE4" s="65"/>
      <c r="AF4" s="128" t="s">
        <v>38</v>
      </c>
      <c r="AG4" s="66"/>
      <c r="AH4" s="57"/>
    </row>
    <row r="5" spans="1:34" ht="16.5" customHeight="1" thickBot="1" x14ac:dyDescent="0.25">
      <c r="A5" s="34" t="s">
        <v>21</v>
      </c>
      <c r="B5" s="35">
        <v>2.2000000000000002</v>
      </c>
      <c r="C5" s="36">
        <v>3</v>
      </c>
      <c r="D5" s="37">
        <v>3.2</v>
      </c>
      <c r="E5" s="67"/>
      <c r="F5" s="39">
        <v>1.95</v>
      </c>
      <c r="G5" s="36">
        <v>3.1</v>
      </c>
      <c r="H5" s="37">
        <v>3.8</v>
      </c>
      <c r="I5" s="40"/>
      <c r="J5" s="41"/>
      <c r="K5" s="42"/>
      <c r="L5" s="43"/>
      <c r="M5" s="40">
        <f>(MIN(J5,L5)-T5)</f>
        <v>0</v>
      </c>
      <c r="N5" s="35">
        <v>0.89</v>
      </c>
      <c r="O5" s="36">
        <v>0.92</v>
      </c>
      <c r="P5" s="44">
        <v>0.93</v>
      </c>
      <c r="Q5" s="45"/>
      <c r="R5" s="46"/>
      <c r="S5" s="47"/>
      <c r="T5" s="48"/>
      <c r="U5" s="56"/>
      <c r="V5" s="57"/>
      <c r="W5" s="68"/>
      <c r="X5" s="69"/>
      <c r="Y5" s="70"/>
      <c r="Z5" s="53">
        <f t="shared" si="0"/>
        <v>-2.2000000000000002</v>
      </c>
      <c r="AA5" s="30" t="s">
        <v>14</v>
      </c>
      <c r="AB5" s="71"/>
      <c r="AC5" s="72"/>
      <c r="AD5" s="31"/>
      <c r="AE5" s="38"/>
      <c r="AF5" s="118"/>
      <c r="AG5" s="66"/>
      <c r="AH5" s="57"/>
    </row>
    <row r="6" spans="1:34" ht="15.75" customHeight="1" x14ac:dyDescent="0.2">
      <c r="A6" s="34" t="s">
        <v>22</v>
      </c>
      <c r="B6" s="35">
        <v>1.8</v>
      </c>
      <c r="C6" s="36">
        <v>2.8</v>
      </c>
      <c r="D6" s="37">
        <v>3.5</v>
      </c>
      <c r="E6" s="38"/>
      <c r="F6" s="39">
        <v>1.9</v>
      </c>
      <c r="G6" s="36">
        <v>2.75</v>
      </c>
      <c r="H6" s="37">
        <v>3.25</v>
      </c>
      <c r="I6" s="40">
        <f>F10-F11</f>
        <v>-2.02</v>
      </c>
      <c r="J6" s="41"/>
      <c r="K6" s="42"/>
      <c r="L6" s="43"/>
      <c r="M6" s="40">
        <f>(MIN(J6,L6)-T5)</f>
        <v>0</v>
      </c>
      <c r="N6" s="35">
        <v>0.87</v>
      </c>
      <c r="O6" s="36">
        <v>0.82</v>
      </c>
      <c r="P6" s="44">
        <v>0.8</v>
      </c>
      <c r="Q6" s="45"/>
      <c r="R6" s="46"/>
      <c r="S6" s="47"/>
      <c r="T6" s="48"/>
      <c r="U6" s="73"/>
      <c r="V6" s="74"/>
      <c r="W6" s="75"/>
      <c r="X6" s="52"/>
      <c r="Y6" s="51"/>
      <c r="Z6" s="53">
        <f t="shared" si="0"/>
        <v>-1.8</v>
      </c>
      <c r="AA6" s="54" t="s">
        <v>17</v>
      </c>
      <c r="AB6" s="35"/>
      <c r="AC6" s="36"/>
      <c r="AD6" s="44"/>
      <c r="AE6" s="65"/>
      <c r="AF6" s="117" t="s">
        <v>39</v>
      </c>
      <c r="AG6" s="76"/>
      <c r="AH6" s="74"/>
    </row>
    <row r="7" spans="1:34" ht="15" customHeight="1" thickBot="1" x14ac:dyDescent="0.25">
      <c r="A7" s="34" t="s">
        <v>24</v>
      </c>
      <c r="B7" s="35">
        <v>2.0499999999999998</v>
      </c>
      <c r="C7" s="36">
        <v>3</v>
      </c>
      <c r="D7" s="37">
        <v>3.65</v>
      </c>
      <c r="E7" s="38"/>
      <c r="F7" s="39">
        <v>2.0499999999999998</v>
      </c>
      <c r="G7" s="36">
        <v>2.95</v>
      </c>
      <c r="H7" s="37">
        <v>3.6</v>
      </c>
      <c r="I7" s="40">
        <f>G10-G11</f>
        <v>-2.96</v>
      </c>
      <c r="J7" s="41"/>
      <c r="K7" s="42"/>
      <c r="L7" s="43"/>
      <c r="M7" s="40">
        <f>(MIN(J7,L7)-T5)</f>
        <v>0</v>
      </c>
      <c r="N7" s="35">
        <v>0.94</v>
      </c>
      <c r="O7" s="36">
        <v>0.87</v>
      </c>
      <c r="P7" s="44">
        <v>0.88</v>
      </c>
      <c r="Q7" s="45"/>
      <c r="R7" s="46"/>
      <c r="S7" s="47"/>
      <c r="T7" s="48"/>
      <c r="U7" s="56"/>
      <c r="V7" s="57"/>
      <c r="W7" s="77">
        <v>1.76</v>
      </c>
      <c r="X7" s="59" t="s">
        <v>37</v>
      </c>
      <c r="Y7" s="58">
        <v>2.08</v>
      </c>
      <c r="Z7" s="53">
        <f t="shared" si="0"/>
        <v>-2.0499999999999998</v>
      </c>
      <c r="AA7" s="78" t="s">
        <v>19</v>
      </c>
      <c r="AB7" s="79"/>
      <c r="AC7" s="80"/>
      <c r="AD7" s="81"/>
      <c r="AE7" s="38"/>
      <c r="AF7" s="118"/>
      <c r="AG7" s="66"/>
      <c r="AH7" s="57"/>
    </row>
    <row r="8" spans="1:34" ht="15" customHeight="1" thickBot="1" x14ac:dyDescent="0.25">
      <c r="A8" s="82" t="s">
        <v>25</v>
      </c>
      <c r="B8" s="35"/>
      <c r="C8" s="36"/>
      <c r="D8" s="37"/>
      <c r="E8" s="38"/>
      <c r="F8" s="39"/>
      <c r="G8" s="36"/>
      <c r="H8" s="37"/>
      <c r="I8" s="40">
        <f>H10-H11</f>
        <v>-3.55</v>
      </c>
      <c r="J8" s="41"/>
      <c r="K8" s="42"/>
      <c r="L8" s="43"/>
      <c r="M8" s="83">
        <f>(MIN(J8,L8)-T5)</f>
        <v>0</v>
      </c>
      <c r="N8" s="35"/>
      <c r="O8" s="36"/>
      <c r="P8" s="44"/>
      <c r="Q8" s="45"/>
      <c r="R8" s="46"/>
      <c r="S8" s="47"/>
      <c r="T8" s="48"/>
      <c r="U8" s="56"/>
      <c r="V8" s="57"/>
      <c r="W8" s="84"/>
      <c r="X8" s="85"/>
      <c r="Y8" s="86"/>
      <c r="Z8" s="53">
        <f t="shared" si="0"/>
        <v>0</v>
      </c>
      <c r="AA8" s="122" t="s">
        <v>26</v>
      </c>
      <c r="AB8" s="115"/>
      <c r="AC8" s="115"/>
      <c r="AD8" s="115"/>
      <c r="AE8" s="38"/>
      <c r="AF8" s="119" t="s">
        <v>40</v>
      </c>
      <c r="AG8" s="66"/>
      <c r="AH8" s="57"/>
    </row>
    <row r="9" spans="1:34" ht="15.75" customHeight="1" x14ac:dyDescent="0.2">
      <c r="A9" s="34" t="s">
        <v>28</v>
      </c>
      <c r="B9" s="35"/>
      <c r="C9" s="36"/>
      <c r="D9" s="37"/>
      <c r="E9" s="67"/>
      <c r="F9" s="39"/>
      <c r="G9" s="36"/>
      <c r="H9" s="37"/>
      <c r="I9" s="40"/>
      <c r="J9" s="41"/>
      <c r="K9" s="42"/>
      <c r="L9" s="43"/>
      <c r="M9" s="83">
        <f>(MIN(J9,L9)-T5)</f>
        <v>0</v>
      </c>
      <c r="N9" s="35"/>
      <c r="O9" s="36"/>
      <c r="P9" s="44"/>
      <c r="Q9" s="45"/>
      <c r="R9" s="46"/>
      <c r="S9" s="47"/>
      <c r="T9" s="48"/>
      <c r="U9" s="56"/>
      <c r="V9" s="57"/>
      <c r="W9" s="43"/>
      <c r="X9" s="87"/>
      <c r="Y9" s="88"/>
      <c r="Z9" s="53">
        <f t="shared" si="0"/>
        <v>0</v>
      </c>
      <c r="AA9" s="30" t="s">
        <v>29</v>
      </c>
      <c r="AB9" s="89"/>
      <c r="AC9" s="72"/>
      <c r="AD9" s="31"/>
      <c r="AE9" s="38"/>
      <c r="AF9" s="120"/>
      <c r="AG9" s="66"/>
      <c r="AH9" s="57"/>
    </row>
    <row r="10" spans="1:34" ht="15" customHeight="1" thickBot="1" x14ac:dyDescent="0.25">
      <c r="A10" s="82" t="s">
        <v>30</v>
      </c>
      <c r="B10" s="35"/>
      <c r="C10" s="36"/>
      <c r="D10" s="37"/>
      <c r="E10" s="67"/>
      <c r="F10" s="39"/>
      <c r="G10" s="36"/>
      <c r="H10" s="37"/>
      <c r="I10" s="40">
        <f>J10-J11</f>
        <v>0</v>
      </c>
      <c r="J10" s="41"/>
      <c r="K10" s="42"/>
      <c r="L10" s="43"/>
      <c r="M10" s="83">
        <f>(MIN(J10,L10)-T5)</f>
        <v>0</v>
      </c>
      <c r="N10" s="35"/>
      <c r="O10" s="36"/>
      <c r="P10" s="44"/>
      <c r="Q10" s="45"/>
      <c r="R10" s="46"/>
      <c r="S10" s="47"/>
      <c r="T10" s="48"/>
      <c r="U10" s="56"/>
      <c r="V10" s="57"/>
      <c r="W10" s="90"/>
      <c r="X10" s="91"/>
      <c r="Y10" s="92"/>
      <c r="Z10" s="53">
        <f t="shared" si="0"/>
        <v>0</v>
      </c>
      <c r="AA10" s="78" t="s">
        <v>14</v>
      </c>
      <c r="AB10" s="93"/>
      <c r="AC10" s="80"/>
      <c r="AD10" s="81"/>
      <c r="AE10" s="38"/>
      <c r="AF10" s="121"/>
      <c r="AG10" s="66"/>
      <c r="AH10" s="57"/>
    </row>
    <row r="11" spans="1:34" ht="15.75" customHeight="1" x14ac:dyDescent="0.2">
      <c r="A11" s="82" t="s">
        <v>31</v>
      </c>
      <c r="B11" s="35">
        <v>1.97</v>
      </c>
      <c r="C11" s="36">
        <v>3</v>
      </c>
      <c r="D11" s="37">
        <v>3.65</v>
      </c>
      <c r="E11" s="67"/>
      <c r="F11" s="39">
        <v>2.02</v>
      </c>
      <c r="G11" s="36">
        <v>2.96</v>
      </c>
      <c r="H11" s="37">
        <v>3.55</v>
      </c>
      <c r="I11" s="40">
        <f>K10-K11</f>
        <v>0</v>
      </c>
      <c r="J11" s="41"/>
      <c r="K11" s="42"/>
      <c r="L11" s="43"/>
      <c r="M11" s="40">
        <f>(MIN(J11,L11)-T5)</f>
        <v>0</v>
      </c>
      <c r="N11" s="35">
        <v>0.93</v>
      </c>
      <c r="O11" s="36">
        <v>0.88</v>
      </c>
      <c r="P11" s="44">
        <v>0.87</v>
      </c>
      <c r="Q11" s="45"/>
      <c r="R11" s="46"/>
      <c r="S11" s="47"/>
      <c r="T11" s="48"/>
      <c r="U11" s="56"/>
      <c r="V11" s="57"/>
      <c r="W11" s="94"/>
      <c r="X11" s="94"/>
      <c r="Y11" s="94"/>
      <c r="Z11" s="53">
        <f t="shared" si="0"/>
        <v>-1.97</v>
      </c>
      <c r="AA11" s="95" t="s">
        <v>29</v>
      </c>
      <c r="AB11" s="96"/>
      <c r="AC11" s="97"/>
      <c r="AD11" s="20"/>
      <c r="AE11" s="38"/>
      <c r="AF11" s="119" t="s">
        <v>32</v>
      </c>
      <c r="AG11" s="66"/>
      <c r="AH11" s="57"/>
    </row>
    <row r="12" spans="1:34" ht="15" customHeight="1" thickBot="1" x14ac:dyDescent="0.25">
      <c r="A12" s="98" t="s">
        <v>19</v>
      </c>
      <c r="B12" s="79">
        <v>2.0499999999999998</v>
      </c>
      <c r="C12" s="80">
        <v>3.15</v>
      </c>
      <c r="D12" s="99">
        <v>3.4</v>
      </c>
      <c r="E12" s="100"/>
      <c r="F12" s="93">
        <v>2.02</v>
      </c>
      <c r="G12" s="80">
        <v>3.15</v>
      </c>
      <c r="H12" s="99">
        <v>3.5</v>
      </c>
      <c r="I12" s="101">
        <f>L10-L11</f>
        <v>0</v>
      </c>
      <c r="J12" s="102"/>
      <c r="K12" s="103"/>
      <c r="L12" s="90"/>
      <c r="M12" s="101">
        <f>(MIN(J12,L12)-T5)</f>
        <v>0</v>
      </c>
      <c r="N12" s="79">
        <v>0.93</v>
      </c>
      <c r="O12" s="80">
        <v>0.93</v>
      </c>
      <c r="P12" s="81">
        <v>0.86</v>
      </c>
      <c r="Q12" s="104"/>
      <c r="R12" s="105"/>
      <c r="S12" s="106"/>
      <c r="T12" s="107"/>
      <c r="U12" s="108"/>
      <c r="V12" s="109"/>
      <c r="W12" s="110"/>
      <c r="X12" s="110"/>
      <c r="Y12" s="110"/>
      <c r="Z12" s="111">
        <f t="shared" si="0"/>
        <v>-2.0499999999999998</v>
      </c>
      <c r="AA12" s="78" t="s">
        <v>14</v>
      </c>
      <c r="AB12" s="93"/>
      <c r="AC12" s="80"/>
      <c r="AD12" s="81"/>
      <c r="AE12" s="112"/>
      <c r="AF12" s="121"/>
      <c r="AG12" s="113"/>
      <c r="AH12" s="109"/>
    </row>
  </sheetData>
  <mergeCells count="14">
    <mergeCell ref="B1:D1"/>
    <mergeCell ref="F1:H1"/>
    <mergeCell ref="AF11:AF12"/>
    <mergeCell ref="AF4:AF5"/>
    <mergeCell ref="N1:P1"/>
    <mergeCell ref="Q1:S1"/>
    <mergeCell ref="AF2:AF3"/>
    <mergeCell ref="AA1:AD1"/>
    <mergeCell ref="J1:L1"/>
    <mergeCell ref="AF6:AF7"/>
    <mergeCell ref="AF8:AF10"/>
    <mergeCell ref="AA8:AD8"/>
    <mergeCell ref="T1:V1"/>
    <mergeCell ref="W1:Y1"/>
  </mergeCells>
  <phoneticPr fontId="1" type="noConversion"/>
  <conditionalFormatting sqref="B2:B12">
    <cfRule type="top10" dxfId="1126" priority="139" bottom="1" rank="1"/>
    <cfRule type="top10" dxfId="1125" priority="140" rank="1"/>
  </conditionalFormatting>
  <conditionalFormatting sqref="B2:D2">
    <cfRule type="cellIs" dxfId="1124" priority="74" operator="greaterThan">
      <formula>B4</formula>
    </cfRule>
  </conditionalFormatting>
  <conditionalFormatting sqref="B3:D3">
    <cfRule type="cellIs" dxfId="1123" priority="75" operator="greaterThan">
      <formula>B4</formula>
    </cfRule>
  </conditionalFormatting>
  <conditionalFormatting sqref="B6:D6">
    <cfRule type="cellIs" dxfId="1122" priority="76" operator="greaterThan">
      <formula>B4</formula>
    </cfRule>
  </conditionalFormatting>
  <conditionalFormatting sqref="B7:D7">
    <cfRule type="cellIs" dxfId="1121" priority="77" operator="greaterThan">
      <formula>B4</formula>
    </cfRule>
  </conditionalFormatting>
  <conditionalFormatting sqref="B8:D8">
    <cfRule type="cellIs" dxfId="1120" priority="78" operator="greaterThan">
      <formula>B4</formula>
    </cfRule>
  </conditionalFormatting>
  <conditionalFormatting sqref="B9:D9">
    <cfRule type="cellIs" dxfId="1119" priority="80" operator="greaterThan">
      <formula>B4</formula>
    </cfRule>
  </conditionalFormatting>
  <conditionalFormatting sqref="B10:D10">
    <cfRule type="cellIs" dxfId="1118" priority="79" operator="greaterThan">
      <formula>B4</formula>
    </cfRule>
  </conditionalFormatting>
  <conditionalFormatting sqref="C2:C12">
    <cfRule type="top10" dxfId="1117" priority="83" bottom="1" rank="1"/>
    <cfRule type="top10" dxfId="1116" priority="84" rank="1"/>
  </conditionalFormatting>
  <conditionalFormatting sqref="D2:D12">
    <cfRule type="top10" dxfId="1115" priority="81" bottom="1" rank="1"/>
    <cfRule type="top10" dxfId="1114" priority="82" rank="1"/>
  </conditionalFormatting>
  <conditionalFormatting sqref="E2:E4">
    <cfRule type="top10" dxfId="1113" priority="14" bottom="1" rank="1"/>
    <cfRule type="top10" dxfId="1112" priority="15" rank="1"/>
  </conditionalFormatting>
  <conditionalFormatting sqref="E6:E8">
    <cfRule type="top10" dxfId="1111" priority="12" bottom="1" rank="1"/>
    <cfRule type="top10" dxfId="1110" priority="13" rank="1"/>
  </conditionalFormatting>
  <conditionalFormatting sqref="E10:E12">
    <cfRule type="top10" dxfId="1109" priority="10" bottom="1" rank="1"/>
    <cfRule type="top10" dxfId="1108" priority="11" rank="1"/>
  </conditionalFormatting>
  <conditionalFormatting sqref="F2:F12">
    <cfRule type="top10" dxfId="1107" priority="72" bottom="1" rank="1"/>
    <cfRule type="top10" dxfId="1106" priority="73" rank="1"/>
  </conditionalFormatting>
  <conditionalFormatting sqref="F2:H2">
    <cfRule type="cellIs" dxfId="1105" priority="61" operator="greaterThan">
      <formula>F4</formula>
    </cfRule>
  </conditionalFormatting>
  <conditionalFormatting sqref="F3:H3">
    <cfRule type="cellIs" dxfId="1104" priority="62" operator="greaterThan">
      <formula>F4</formula>
    </cfRule>
  </conditionalFormatting>
  <conditionalFormatting sqref="F6:H6">
    <cfRule type="cellIs" dxfId="1103" priority="63" operator="greaterThan">
      <formula>F4</formula>
    </cfRule>
  </conditionalFormatting>
  <conditionalFormatting sqref="F7:H7">
    <cfRule type="cellIs" dxfId="1102" priority="64" operator="greaterThan">
      <formula>F4</formula>
    </cfRule>
  </conditionalFormatting>
  <conditionalFormatting sqref="F8:H8">
    <cfRule type="cellIs" dxfId="1101" priority="65" operator="greaterThan">
      <formula>F4</formula>
    </cfRule>
  </conditionalFormatting>
  <conditionalFormatting sqref="F9:H9">
    <cfRule type="cellIs" dxfId="1100" priority="67" operator="greaterThan">
      <formula>F4</formula>
    </cfRule>
  </conditionalFormatting>
  <conditionalFormatting sqref="F10:H10">
    <cfRule type="cellIs" dxfId="1099" priority="66" operator="greaterThan">
      <formula>F4</formula>
    </cfRule>
  </conditionalFormatting>
  <conditionalFormatting sqref="G2:G12">
    <cfRule type="top10" dxfId="1098" priority="70" bottom="1" rank="1"/>
    <cfRule type="top10" dxfId="1097" priority="71" rank="1"/>
  </conditionalFormatting>
  <conditionalFormatting sqref="H2:H12">
    <cfRule type="top10" dxfId="1096" priority="68" bottom="1" rank="1"/>
    <cfRule type="top10" dxfId="1095" priority="69" rank="1"/>
  </conditionalFormatting>
  <conditionalFormatting sqref="I2:I4">
    <cfRule type="top10" dxfId="1094" priority="8" bottom="1" rank="1"/>
    <cfRule type="top10" dxfId="1093" priority="9" rank="1"/>
  </conditionalFormatting>
  <conditionalFormatting sqref="I6:I8">
    <cfRule type="top10" dxfId="1092" priority="6" bottom="1" rank="1"/>
    <cfRule type="top10" dxfId="1091" priority="7" rank="1"/>
  </conditionalFormatting>
  <conditionalFormatting sqref="I10:I12">
    <cfRule type="top10" dxfId="1090" priority="4" bottom="1" rank="1"/>
    <cfRule type="top10" dxfId="1089" priority="5" rank="1"/>
  </conditionalFormatting>
  <conditionalFormatting sqref="J2:J12">
    <cfRule type="top10" dxfId="1088" priority="20" bottom="1" rank="1"/>
    <cfRule type="top10" dxfId="1087" priority="21" rank="1"/>
  </conditionalFormatting>
  <conditionalFormatting sqref="J1:L1">
    <cfRule type="top10" dxfId="1086" priority="22" bottom="1" rank="1"/>
    <cfRule type="top10" dxfId="1085" priority="23" rank="1"/>
  </conditionalFormatting>
  <conditionalFormatting sqref="J4:L4">
    <cfRule type="cellIs" dxfId="1084" priority="1" operator="greaterThan">
      <formula>J11</formula>
    </cfRule>
  </conditionalFormatting>
  <conditionalFormatting sqref="J8:L8">
    <cfRule type="cellIs" dxfId="1083" priority="3" operator="greaterThan">
      <formula>J10</formula>
    </cfRule>
  </conditionalFormatting>
  <conditionalFormatting sqref="J10:L10">
    <cfRule type="cellIs" dxfId="1082" priority="2" operator="greaterThan">
      <formula>J11</formula>
    </cfRule>
  </conditionalFormatting>
  <conditionalFormatting sqref="K2:K12">
    <cfRule type="top10" dxfId="1081" priority="18" bottom="1" rank="1"/>
    <cfRule type="top10" dxfId="1080" priority="19" rank="1"/>
  </conditionalFormatting>
  <conditionalFormatting sqref="L2:L12">
    <cfRule type="top10" dxfId="1079" priority="16" bottom="1" rank="1"/>
    <cfRule type="top10" dxfId="1078" priority="17" rank="1"/>
  </conditionalFormatting>
  <conditionalFormatting sqref="M2:M12">
    <cfRule type="cellIs" dxfId="1077" priority="137" operator="lessThan">
      <formula>0</formula>
    </cfRule>
    <cfRule type="cellIs" dxfId="1076" priority="138" operator="greaterThan">
      <formula>0</formula>
    </cfRule>
  </conditionalFormatting>
  <conditionalFormatting sqref="N2:N12">
    <cfRule type="top10" dxfId="1075" priority="131" bottom="1" rank="1"/>
    <cfRule type="top10" dxfId="1074" priority="132" rank="1"/>
  </conditionalFormatting>
  <conditionalFormatting sqref="N9">
    <cfRule type="cellIs" dxfId="1073" priority="135" stopIfTrue="1" operator="lessThan">
      <formula>N2</formula>
    </cfRule>
    <cfRule type="cellIs" dxfId="1072" priority="136" operator="greaterThan">
      <formula>N2</formula>
    </cfRule>
  </conditionalFormatting>
  <conditionalFormatting sqref="N10">
    <cfRule type="cellIs" dxfId="1071" priority="133" stopIfTrue="1" operator="lessThan">
      <formula>N2</formula>
    </cfRule>
    <cfRule type="cellIs" dxfId="1070" priority="134" stopIfTrue="1" operator="greaterThan">
      <formula>N2</formula>
    </cfRule>
  </conditionalFormatting>
  <conditionalFormatting sqref="N1:P1">
    <cfRule type="top10" dxfId="1069" priority="57" bottom="1" rank="1"/>
    <cfRule type="top10" dxfId="1068" priority="58" rank="1"/>
  </conditionalFormatting>
  <conditionalFormatting sqref="N8:P8">
    <cfRule type="top10" dxfId="1067" priority="95" bottom="1" rank="1"/>
    <cfRule type="top10" dxfId="1066" priority="96" rank="1"/>
    <cfRule type="cellIs" dxfId="1065" priority="123" operator="lessThan">
      <formula>N2</formula>
    </cfRule>
    <cfRule type="cellIs" dxfId="1064" priority="124" operator="greaterThan">
      <formula>N2</formula>
    </cfRule>
  </conditionalFormatting>
  <conditionalFormatting sqref="N9:P9">
    <cfRule type="top10" dxfId="1063" priority="93" bottom="1" rank="1"/>
    <cfRule type="top10" dxfId="1062" priority="94" rank="1"/>
  </conditionalFormatting>
  <conditionalFormatting sqref="N10:P10">
    <cfRule type="top10" dxfId="1061" priority="91" bottom="1" rank="1"/>
    <cfRule type="top10" dxfId="1060" priority="92" rank="1"/>
  </conditionalFormatting>
  <conditionalFormatting sqref="O2:O12">
    <cfRule type="top10" dxfId="1059" priority="125" bottom="1" rank="1"/>
    <cfRule type="top10" dxfId="1058" priority="126" rank="1"/>
  </conditionalFormatting>
  <conditionalFormatting sqref="O9">
    <cfRule type="cellIs" dxfId="1057" priority="129" stopIfTrue="1" operator="lessThan">
      <formula>O2</formula>
    </cfRule>
    <cfRule type="cellIs" dxfId="1056" priority="130" operator="greaterThan">
      <formula>O2</formula>
    </cfRule>
  </conditionalFormatting>
  <conditionalFormatting sqref="O10">
    <cfRule type="cellIs" dxfId="1055" priority="127" stopIfTrue="1" operator="lessThan">
      <formula>O2</formula>
    </cfRule>
    <cfRule type="cellIs" dxfId="1054" priority="128" stopIfTrue="1" operator="greaterThan">
      <formula>O2</formula>
    </cfRule>
  </conditionalFormatting>
  <conditionalFormatting sqref="P2:P12">
    <cfRule type="top10" dxfId="1053" priority="117" bottom="1" rank="1"/>
    <cfRule type="top10" dxfId="1052" priority="118" rank="1"/>
  </conditionalFormatting>
  <conditionalFormatting sqref="P9">
    <cfRule type="cellIs" dxfId="1051" priority="121" stopIfTrue="1" operator="lessThan">
      <formula>P2</formula>
    </cfRule>
    <cfRule type="cellIs" dxfId="1050" priority="122" operator="greaterThan">
      <formula>P2</formula>
    </cfRule>
  </conditionalFormatting>
  <conditionalFormatting sqref="P10">
    <cfRule type="cellIs" dxfId="1049" priority="119" stopIfTrue="1" operator="lessThan">
      <formula>P2</formula>
    </cfRule>
    <cfRule type="cellIs" dxfId="1048" priority="120" stopIfTrue="1" operator="greaterThan">
      <formula>P2</formula>
    </cfRule>
  </conditionalFormatting>
  <conditionalFormatting sqref="R2:R12">
    <cfRule type="top10" dxfId="1047" priority="111" bottom="1" rank="1"/>
    <cfRule type="top10" dxfId="1046" priority="112" rank="1"/>
  </conditionalFormatting>
  <conditionalFormatting sqref="R9">
    <cfRule type="cellIs" dxfId="1045" priority="115" stopIfTrue="1" operator="lessThan">
      <formula>R2</formula>
    </cfRule>
    <cfRule type="cellIs" dxfId="1044" priority="116" operator="greaterThan">
      <formula>R2</formula>
    </cfRule>
  </conditionalFormatting>
  <conditionalFormatting sqref="R10">
    <cfRule type="cellIs" dxfId="1043" priority="113" stopIfTrue="1" operator="lessThan">
      <formula>R2</formula>
    </cfRule>
    <cfRule type="cellIs" dxfId="1042" priority="114" stopIfTrue="1" operator="greaterThan">
      <formula>R2</formula>
    </cfRule>
  </conditionalFormatting>
  <conditionalFormatting sqref="R1:T1">
    <cfRule type="top10" dxfId="1041" priority="35" bottom="1" rank="1"/>
    <cfRule type="top10" dxfId="1040" priority="36" rank="1"/>
  </conditionalFormatting>
  <conditionalFormatting sqref="R8:T8">
    <cfRule type="top10" dxfId="1039" priority="89" bottom="1" rank="1"/>
    <cfRule type="top10" dxfId="1038" priority="90" rank="1"/>
    <cfRule type="cellIs" dxfId="1037" priority="103" operator="lessThan">
      <formula>R2</formula>
    </cfRule>
    <cfRule type="cellIs" dxfId="1036" priority="104" operator="greaterThan">
      <formula>R2</formula>
    </cfRule>
  </conditionalFormatting>
  <conditionalFormatting sqref="R9:T9">
    <cfRule type="top10" dxfId="1035" priority="87" bottom="1" rank="1"/>
    <cfRule type="top10" dxfId="1034" priority="88" rank="1"/>
  </conditionalFormatting>
  <conditionalFormatting sqref="R10:T10">
    <cfRule type="top10" dxfId="1033" priority="85" bottom="1" rank="1"/>
    <cfRule type="top10" dxfId="1032" priority="86" rank="1"/>
  </conditionalFormatting>
  <conditionalFormatting sqref="S2:S12">
    <cfRule type="top10" dxfId="1031" priority="105" bottom="1" rank="1"/>
    <cfRule type="top10" dxfId="1030" priority="106" rank="1"/>
  </conditionalFormatting>
  <conditionalFormatting sqref="S9">
    <cfRule type="cellIs" dxfId="1029" priority="109" stopIfTrue="1" operator="lessThan">
      <formula>S2</formula>
    </cfRule>
    <cfRule type="cellIs" dxfId="1028" priority="110" operator="greaterThan">
      <formula>S2</formula>
    </cfRule>
  </conditionalFormatting>
  <conditionalFormatting sqref="S10">
    <cfRule type="cellIs" dxfId="1027" priority="107" stopIfTrue="1" operator="lessThan">
      <formula>S2</formula>
    </cfRule>
    <cfRule type="cellIs" dxfId="1026" priority="108" stopIfTrue="1" operator="greaterThan">
      <formula>S2</formula>
    </cfRule>
  </conditionalFormatting>
  <conditionalFormatting sqref="T2:T12">
    <cfRule type="top10" dxfId="1025" priority="97" bottom="1" rank="1"/>
    <cfRule type="top10" dxfId="1024" priority="98" rank="1"/>
  </conditionalFormatting>
  <conditionalFormatting sqref="T9">
    <cfRule type="cellIs" dxfId="1023" priority="101" stopIfTrue="1" operator="lessThan">
      <formula>T2</formula>
    </cfRule>
    <cfRule type="cellIs" dxfId="1022" priority="102" operator="greaterThan">
      <formula>T2</formula>
    </cfRule>
  </conditionalFormatting>
  <conditionalFormatting sqref="T10">
    <cfRule type="cellIs" dxfId="1021" priority="99" stopIfTrue="1" operator="lessThan">
      <formula>T2</formula>
    </cfRule>
    <cfRule type="cellIs" dxfId="1020" priority="100" stopIfTrue="1" operator="greaterThan">
      <formula>T2</formula>
    </cfRule>
  </conditionalFormatting>
  <conditionalFormatting sqref="V7:V11">
    <cfRule type="top10" dxfId="1019" priority="29" bottom="1" rank="1"/>
    <cfRule type="top10" dxfId="1018" priority="30" rank="1"/>
  </conditionalFormatting>
  <conditionalFormatting sqref="V1:X1">
    <cfRule type="top10" dxfId="1017" priority="33" bottom="1" rank="1"/>
    <cfRule type="top10" dxfId="1016" priority="34" rank="1"/>
  </conditionalFormatting>
  <conditionalFormatting sqref="V8:X8">
    <cfRule type="cellIs" dxfId="1015" priority="24" operator="greaterThan">
      <formula>V9</formula>
    </cfRule>
  </conditionalFormatting>
  <conditionalFormatting sqref="W7:W11">
    <cfRule type="top10" dxfId="1014" priority="27" bottom="1" rank="1"/>
    <cfRule type="top10" dxfId="1013" priority="28" rank="1"/>
  </conditionalFormatting>
  <conditionalFormatting sqref="X7:X11">
    <cfRule type="top10" dxfId="1012" priority="25" bottom="1" rank="1"/>
    <cfRule type="top10" dxfId="1011" priority="26" rank="1"/>
  </conditionalFormatting>
  <conditionalFormatting sqref="Z6:Z7">
    <cfRule type="cellIs" dxfId="1010" priority="160" operator="lessThan">
      <formula>Z2</formula>
    </cfRule>
    <cfRule type="cellIs" dxfId="1009" priority="161" operator="greaterThan">
      <formula>Z2</formula>
    </cfRule>
  </conditionalFormatting>
  <conditionalFormatting sqref="Z9:Z10">
    <cfRule type="top10" dxfId="1008" priority="47" bottom="1" rank="1"/>
    <cfRule type="top10" dxfId="1007" priority="48" rank="1"/>
  </conditionalFormatting>
  <conditionalFormatting sqref="Z11:Z12">
    <cfRule type="top10" dxfId="1006" priority="41" bottom="1" rank="1"/>
    <cfRule type="top10" dxfId="1005" priority="42" rank="1"/>
  </conditionalFormatting>
  <conditionalFormatting sqref="Z9:AB10">
    <cfRule type="cellIs" dxfId="1004" priority="49" operator="lessThan">
      <formula>Z11</formula>
    </cfRule>
    <cfRule type="cellIs" dxfId="1003" priority="50" operator="greaterThan">
      <formula>Z11</formula>
    </cfRule>
  </conditionalFormatting>
  <conditionalFormatting sqref="AA9:AA10">
    <cfRule type="top10" dxfId="1002" priority="45" bottom="1" rank="1"/>
    <cfRule type="top10" dxfId="1001" priority="46" rank="1"/>
  </conditionalFormatting>
  <conditionalFormatting sqref="AA11:AA12">
    <cfRule type="top10" dxfId="1000" priority="39" bottom="1" rank="1"/>
    <cfRule type="top10" dxfId="999" priority="40" rank="1"/>
  </conditionalFormatting>
  <conditionalFormatting sqref="AB6:AB7">
    <cfRule type="cellIs" dxfId="998" priority="158" operator="lessThan">
      <formula>AB2</formula>
    </cfRule>
    <cfRule type="cellIs" dxfId="997" priority="159" operator="greaterThan">
      <formula>AB2</formula>
    </cfRule>
  </conditionalFormatting>
  <conditionalFormatting sqref="AB9:AB10">
    <cfRule type="top10" dxfId="996" priority="43" bottom="1" rank="1"/>
    <cfRule type="top10" dxfId="995" priority="44" rank="1"/>
  </conditionalFormatting>
  <conditionalFormatting sqref="AB11:AB12">
    <cfRule type="top10" dxfId="994" priority="37" bottom="1" rank="1"/>
    <cfRule type="top10" dxfId="993" priority="38" rank="1"/>
  </conditionalFormatting>
  <conditionalFormatting sqref="AC5:AC7">
    <cfRule type="cellIs" dxfId="992" priority="59" operator="lessThan">
      <formula>AC2</formula>
    </cfRule>
    <cfRule type="cellIs" dxfId="991" priority="60" operator="greaterThan">
      <formula>AC2</formula>
    </cfRule>
  </conditionalFormatting>
  <conditionalFormatting sqref="AC10:AC12">
    <cfRule type="top10" dxfId="990" priority="31" rank="1"/>
    <cfRule type="top10" dxfId="989" priority="32" bottom="1" rank="1"/>
  </conditionalFormatting>
  <conditionalFormatting sqref="AE1:AG1">
    <cfRule type="top10" dxfId="988" priority="55" bottom="1" rank="1"/>
    <cfRule type="top10" dxfId="987" priority="56" rank="1"/>
  </conditionalFormatting>
  <conditionalFormatting sqref="AE2:AG2">
    <cfRule type="top10" dxfId="986" priority="53" bottom="1" rank="1"/>
    <cfRule type="top10" dxfId="985" priority="54" rank="1"/>
  </conditionalFormatting>
  <conditionalFormatting sqref="AE3:AG3">
    <cfRule type="top10" dxfId="984" priority="51" bottom="1" rank="1"/>
    <cfRule type="top10" dxfId="983" priority="52" rank="1"/>
  </conditionalFormatting>
  <conditionalFormatting sqref="AE4:AG4">
    <cfRule type="cellIs" dxfId="982" priority="154" operator="lessThan">
      <formula>AE2</formula>
    </cfRule>
    <cfRule type="cellIs" dxfId="981" priority="155" operator="greaterThan">
      <formula>AE2</formula>
    </cfRule>
  </conditionalFormatting>
  <conditionalFormatting sqref="AE5:AG5">
    <cfRule type="top10" dxfId="980" priority="156" bottom="1" rank="1"/>
    <cfRule type="top10" dxfId="979" priority="157" rank="1"/>
  </conditionalFormatting>
  <conditionalFormatting sqref="AE7:AG7">
    <cfRule type="top10" dxfId="978" priority="152" bottom="1" rank="1"/>
    <cfRule type="top10" dxfId="977" priority="153" rank="1"/>
  </conditionalFormatting>
  <conditionalFormatting sqref="AE8:AG8">
    <cfRule type="cellIs" dxfId="976" priority="148" operator="lessThan">
      <formula>AE7</formula>
    </cfRule>
    <cfRule type="cellIs" dxfId="975" priority="149" operator="greaterThan">
      <formula>AE7</formula>
    </cfRule>
  </conditionalFormatting>
  <conditionalFormatting sqref="AE9:AG9">
    <cfRule type="cellIs" dxfId="974" priority="146" operator="lessThan">
      <formula>AE7</formula>
    </cfRule>
    <cfRule type="cellIs" dxfId="973" priority="147" operator="greaterThan">
      <formula>AE7</formula>
    </cfRule>
  </conditionalFormatting>
  <conditionalFormatting sqref="AE10:AG10">
    <cfRule type="top10" dxfId="972" priority="150" bottom="1" rank="1"/>
    <cfRule type="top10" dxfId="971" priority="151" rank="1"/>
  </conditionalFormatting>
  <conditionalFormatting sqref="AE11:AG11">
    <cfRule type="cellIs" dxfId="970" priority="144" operator="lessThan">
      <formula>0</formula>
    </cfRule>
    <cfRule type="cellIs" dxfId="969" priority="145" operator="greaterThan">
      <formula>0</formula>
    </cfRule>
  </conditionalFormatting>
  <conditionalFormatting sqref="AE12:AG12">
    <cfRule type="top10" dxfId="968" priority="141" bottom="1" rank="1"/>
    <cfRule type="cellIs" dxfId="967" priority="142" operator="greaterThan">
      <formula>0</formula>
    </cfRule>
    <cfRule type="cellIs" dxfId="966" priority="143" operator="lessThan">
      <formula>0</formula>
    </cfRule>
  </conditionalFormatting>
  <pageMargins left="0.7" right="0.7" top="0.75" bottom="0.75" header="0.3" footer="0.3"/>
  <pageSetup paperSize="9"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H12"/>
  <sheetViews>
    <sheetView workbookViewId="0">
      <selection activeCell="A4" sqref="A4"/>
    </sheetView>
  </sheetViews>
  <sheetFormatPr defaultRowHeight="14.25" x14ac:dyDescent="0.2"/>
  <sheetData>
    <row r="1" spans="1:34" ht="15" customHeight="1" thickBot="1" x14ac:dyDescent="0.25">
      <c r="A1" s="1" t="s">
        <v>41</v>
      </c>
      <c r="B1" s="125" t="s">
        <v>42</v>
      </c>
      <c r="C1" s="126"/>
      <c r="D1" s="126"/>
      <c r="E1" s="2" t="s">
        <v>2</v>
      </c>
      <c r="F1" s="127" t="s">
        <v>43</v>
      </c>
      <c r="G1" s="126"/>
      <c r="H1" s="126"/>
      <c r="I1" s="3" t="s">
        <v>2</v>
      </c>
      <c r="J1" s="114" t="s">
        <v>4</v>
      </c>
      <c r="K1" s="115"/>
      <c r="L1" s="116"/>
      <c r="M1" s="2" t="s">
        <v>2</v>
      </c>
      <c r="N1" s="114" t="s">
        <v>5</v>
      </c>
      <c r="O1" s="115"/>
      <c r="P1" s="116"/>
      <c r="Q1" s="114" t="s">
        <v>6</v>
      </c>
      <c r="R1" s="115"/>
      <c r="S1" s="116"/>
      <c r="T1" s="123" t="s">
        <v>2</v>
      </c>
      <c r="U1" s="115"/>
      <c r="V1" s="116"/>
      <c r="W1" s="124" t="s">
        <v>7</v>
      </c>
      <c r="X1" s="115"/>
      <c r="Y1" s="115"/>
      <c r="Z1" s="2" t="s">
        <v>8</v>
      </c>
      <c r="AA1" s="129">
        <v>2</v>
      </c>
      <c r="AB1" s="126"/>
      <c r="AC1" s="126"/>
      <c r="AD1" s="126"/>
      <c r="AE1" s="4" t="s">
        <v>2</v>
      </c>
      <c r="AF1" s="5" t="s">
        <v>10</v>
      </c>
      <c r="AG1" s="6" t="s">
        <v>11</v>
      </c>
      <c r="AH1" s="7" t="s">
        <v>12</v>
      </c>
    </row>
    <row r="2" spans="1:34" ht="15.75" customHeight="1" x14ac:dyDescent="0.2">
      <c r="A2" s="8" t="s">
        <v>13</v>
      </c>
      <c r="B2" s="9">
        <v>2.63</v>
      </c>
      <c r="C2" s="10">
        <v>3.51</v>
      </c>
      <c r="D2" s="11">
        <v>2.39</v>
      </c>
      <c r="E2" s="12"/>
      <c r="F2" s="13">
        <v>2.65</v>
      </c>
      <c r="G2" s="10">
        <v>3.44</v>
      </c>
      <c r="H2" s="11">
        <v>2.41</v>
      </c>
      <c r="I2" s="14">
        <f>B10-B11</f>
        <v>0</v>
      </c>
      <c r="J2" s="15"/>
      <c r="K2" s="16"/>
      <c r="L2" s="17"/>
      <c r="M2" s="14">
        <f>(MIN(J2,L2)-T5)</f>
        <v>0</v>
      </c>
      <c r="N2" s="18">
        <v>0.92</v>
      </c>
      <c r="O2" s="19">
        <v>0.92</v>
      </c>
      <c r="P2" s="20">
        <v>0.92</v>
      </c>
      <c r="Q2" s="21"/>
      <c r="R2" s="22"/>
      <c r="S2" s="23"/>
      <c r="T2" s="24"/>
      <c r="U2" s="25"/>
      <c r="V2" s="26"/>
      <c r="W2" s="27"/>
      <c r="X2" s="28"/>
      <c r="Y2" s="27"/>
      <c r="Z2" s="29"/>
      <c r="AA2" s="30" t="s">
        <v>14</v>
      </c>
      <c r="AB2" s="9"/>
      <c r="AC2" s="10"/>
      <c r="AD2" s="31"/>
      <c r="AE2" s="32"/>
      <c r="AF2" s="117" t="s">
        <v>44</v>
      </c>
      <c r="AG2" s="33"/>
      <c r="AH2" s="26"/>
    </row>
    <row r="3" spans="1:34" ht="15" customHeight="1" thickBot="1" x14ac:dyDescent="0.25">
      <c r="A3" s="34" t="s">
        <v>16</v>
      </c>
      <c r="B3" s="35">
        <v>2.7</v>
      </c>
      <c r="C3" s="36">
        <v>3.6</v>
      </c>
      <c r="D3" s="37">
        <v>2.38</v>
      </c>
      <c r="E3" s="38"/>
      <c r="F3" s="39">
        <v>2.7</v>
      </c>
      <c r="G3" s="36">
        <v>3.6</v>
      </c>
      <c r="H3" s="37">
        <v>2.4</v>
      </c>
      <c r="I3" s="40">
        <f>C10-C11</f>
        <v>0</v>
      </c>
      <c r="J3" s="41"/>
      <c r="K3" s="42"/>
      <c r="L3" s="43"/>
      <c r="M3" s="40">
        <f>(MIN(J3,L3)-T5)</f>
        <v>0</v>
      </c>
      <c r="N3" s="35">
        <v>0.94</v>
      </c>
      <c r="O3" s="36">
        <v>0.97</v>
      </c>
      <c r="P3" s="44">
        <v>0.92</v>
      </c>
      <c r="Q3" s="45"/>
      <c r="R3" s="46"/>
      <c r="S3" s="47"/>
      <c r="T3" s="48"/>
      <c r="U3" s="49"/>
      <c r="V3" s="50"/>
      <c r="W3" s="51">
        <v>1.53</v>
      </c>
      <c r="X3" s="52" t="s">
        <v>45</v>
      </c>
      <c r="Y3" s="51">
        <v>2.4500000000000002</v>
      </c>
      <c r="Z3" s="53">
        <f t="shared" ref="Z3:Z12" si="0">(MIN(J3,L3)-MIN(B3,D3))</f>
        <v>-2.38</v>
      </c>
      <c r="AA3" s="54" t="s">
        <v>17</v>
      </c>
      <c r="AB3" s="35">
        <v>1.17</v>
      </c>
      <c r="AC3" s="36">
        <v>7</v>
      </c>
      <c r="AD3" s="44">
        <v>12</v>
      </c>
      <c r="AE3" s="38"/>
      <c r="AF3" s="118"/>
      <c r="AG3" s="55"/>
      <c r="AH3" s="50"/>
    </row>
    <row r="4" spans="1:34" ht="16.5" customHeight="1" thickBot="1" x14ac:dyDescent="0.25">
      <c r="A4" s="34" t="s">
        <v>18</v>
      </c>
      <c r="B4" s="35">
        <v>2.7</v>
      </c>
      <c r="C4" s="36">
        <v>3.4</v>
      </c>
      <c r="D4" s="37">
        <v>2.4500000000000002</v>
      </c>
      <c r="E4" s="38"/>
      <c r="F4" s="39">
        <v>2.75</v>
      </c>
      <c r="G4" s="36">
        <v>3.4</v>
      </c>
      <c r="H4" s="37">
        <v>2.4500000000000002</v>
      </c>
      <c r="I4" s="40">
        <f>D10-D11</f>
        <v>0</v>
      </c>
      <c r="J4" s="41"/>
      <c r="K4" s="42"/>
      <c r="L4" s="43"/>
      <c r="M4" s="40">
        <f>(MIN(J4,L4)-T5)</f>
        <v>0</v>
      </c>
      <c r="N4" s="35">
        <v>0.96</v>
      </c>
      <c r="O4" s="36">
        <v>0.91</v>
      </c>
      <c r="P4" s="44">
        <v>0.94</v>
      </c>
      <c r="Q4" s="45"/>
      <c r="R4" s="46"/>
      <c r="S4" s="47"/>
      <c r="T4" s="48"/>
      <c r="U4" s="56"/>
      <c r="V4" s="57"/>
      <c r="W4" s="58">
        <v>2.06</v>
      </c>
      <c r="X4" s="59" t="s">
        <v>46</v>
      </c>
      <c r="Y4" s="60">
        <v>1.86</v>
      </c>
      <c r="Z4" s="53">
        <f t="shared" si="0"/>
        <v>-2.4500000000000002</v>
      </c>
      <c r="AA4" s="61" t="s">
        <v>19</v>
      </c>
      <c r="AB4" s="62"/>
      <c r="AC4" s="63"/>
      <c r="AD4" s="64"/>
      <c r="AE4" s="65"/>
      <c r="AF4" s="128" t="s">
        <v>47</v>
      </c>
      <c r="AG4" s="66"/>
      <c r="AH4" s="57"/>
    </row>
    <row r="5" spans="1:34" ht="16.5" customHeight="1" thickBot="1" x14ac:dyDescent="0.25">
      <c r="A5" s="34" t="s">
        <v>21</v>
      </c>
      <c r="B5" s="35">
        <v>2.65</v>
      </c>
      <c r="C5" s="36">
        <v>3.4</v>
      </c>
      <c r="D5" s="37">
        <v>2.4500000000000002</v>
      </c>
      <c r="E5" s="67"/>
      <c r="F5" s="39">
        <v>2.7</v>
      </c>
      <c r="G5" s="36">
        <v>3.4</v>
      </c>
      <c r="H5" s="37">
        <v>2.4</v>
      </c>
      <c r="I5" s="40"/>
      <c r="J5" s="41"/>
      <c r="K5" s="42"/>
      <c r="L5" s="43"/>
      <c r="M5" s="40">
        <f>(MIN(J5,L5)-T5)</f>
        <v>0</v>
      </c>
      <c r="N5" s="35">
        <v>0.94</v>
      </c>
      <c r="O5" s="36">
        <v>0.91</v>
      </c>
      <c r="P5" s="44">
        <v>0.92</v>
      </c>
      <c r="Q5" s="45"/>
      <c r="R5" s="46"/>
      <c r="S5" s="47"/>
      <c r="T5" s="48"/>
      <c r="U5" s="56"/>
      <c r="V5" s="57"/>
      <c r="W5" s="68"/>
      <c r="X5" s="69"/>
      <c r="Y5" s="70"/>
      <c r="Z5" s="53">
        <f t="shared" si="0"/>
        <v>-2.4500000000000002</v>
      </c>
      <c r="AA5" s="30" t="s">
        <v>14</v>
      </c>
      <c r="AB5" s="71"/>
      <c r="AC5" s="72"/>
      <c r="AD5" s="31"/>
      <c r="AE5" s="38"/>
      <c r="AF5" s="118"/>
      <c r="AG5" s="66"/>
      <c r="AH5" s="57"/>
    </row>
    <row r="6" spans="1:34" ht="15.75" customHeight="1" x14ac:dyDescent="0.2">
      <c r="A6" s="34" t="s">
        <v>22</v>
      </c>
      <c r="B6" s="35">
        <v>2.5</v>
      </c>
      <c r="C6" s="36">
        <v>3.25</v>
      </c>
      <c r="D6" s="37">
        <v>2.25</v>
      </c>
      <c r="E6" s="38"/>
      <c r="F6" s="39">
        <v>2.5</v>
      </c>
      <c r="G6" s="36">
        <v>3.2</v>
      </c>
      <c r="H6" s="37">
        <v>2.2999999999999998</v>
      </c>
      <c r="I6" s="40">
        <f>F10-F11</f>
        <v>0</v>
      </c>
      <c r="J6" s="41"/>
      <c r="K6" s="42"/>
      <c r="L6" s="43"/>
      <c r="M6" s="40">
        <f>(MIN(J6,L6)-T5)</f>
        <v>0</v>
      </c>
      <c r="N6" s="35">
        <v>0.87</v>
      </c>
      <c r="O6" s="36">
        <v>0.86</v>
      </c>
      <c r="P6" s="44">
        <v>0.88</v>
      </c>
      <c r="Q6" s="45"/>
      <c r="R6" s="46"/>
      <c r="S6" s="47"/>
      <c r="T6" s="48"/>
      <c r="U6" s="73"/>
      <c r="V6" s="74"/>
      <c r="W6" s="75">
        <v>1.53</v>
      </c>
      <c r="X6" s="52" t="s">
        <v>45</v>
      </c>
      <c r="Y6" s="51">
        <v>2.5</v>
      </c>
      <c r="Z6" s="53">
        <f t="shared" si="0"/>
        <v>-2.25</v>
      </c>
      <c r="AA6" s="54" t="s">
        <v>17</v>
      </c>
      <c r="AB6" s="35">
        <v>1.17</v>
      </c>
      <c r="AC6" s="36">
        <v>7</v>
      </c>
      <c r="AD6" s="44">
        <v>12</v>
      </c>
      <c r="AE6" s="65"/>
      <c r="AF6" s="117" t="s">
        <v>48</v>
      </c>
      <c r="AG6" s="76"/>
      <c r="AH6" s="74"/>
    </row>
    <row r="7" spans="1:34" ht="15" customHeight="1" thickBot="1" x14ac:dyDescent="0.25">
      <c r="A7" s="34" t="s">
        <v>24</v>
      </c>
      <c r="B7" s="35">
        <v>2.65</v>
      </c>
      <c r="C7" s="36">
        <v>3.5</v>
      </c>
      <c r="D7" s="37">
        <v>2.4</v>
      </c>
      <c r="E7" s="38"/>
      <c r="F7" s="39">
        <v>2.7</v>
      </c>
      <c r="G7" s="36">
        <v>3.5</v>
      </c>
      <c r="H7" s="37">
        <v>2.5</v>
      </c>
      <c r="I7" s="40">
        <f>G10-G11</f>
        <v>0</v>
      </c>
      <c r="J7" s="41"/>
      <c r="K7" s="42"/>
      <c r="L7" s="43"/>
      <c r="M7" s="40">
        <f>(MIN(J7,L7)-T5)</f>
        <v>0</v>
      </c>
      <c r="N7" s="35">
        <v>0.94</v>
      </c>
      <c r="O7" s="36">
        <v>0.94</v>
      </c>
      <c r="P7" s="44">
        <v>0.96</v>
      </c>
      <c r="Q7" s="45"/>
      <c r="R7" s="46"/>
      <c r="S7" s="47"/>
      <c r="T7" s="48"/>
      <c r="U7" s="56"/>
      <c r="V7" s="57"/>
      <c r="W7" s="77">
        <v>2.06</v>
      </c>
      <c r="X7" s="59" t="s">
        <v>46</v>
      </c>
      <c r="Y7" s="58">
        <v>1.86</v>
      </c>
      <c r="Z7" s="53">
        <f t="shared" si="0"/>
        <v>-2.4</v>
      </c>
      <c r="AA7" s="78" t="s">
        <v>19</v>
      </c>
      <c r="AB7" s="79"/>
      <c r="AC7" s="80"/>
      <c r="AD7" s="81"/>
      <c r="AE7" s="38"/>
      <c r="AF7" s="118"/>
      <c r="AG7" s="66"/>
      <c r="AH7" s="57"/>
    </row>
    <row r="8" spans="1:34" ht="15" customHeight="1" thickBot="1" x14ac:dyDescent="0.25">
      <c r="A8" s="82" t="s">
        <v>25</v>
      </c>
      <c r="B8" s="35"/>
      <c r="C8" s="36"/>
      <c r="D8" s="37"/>
      <c r="E8" s="38"/>
      <c r="F8" s="39"/>
      <c r="G8" s="36"/>
      <c r="H8" s="37"/>
      <c r="I8" s="40">
        <f>H10-H11</f>
        <v>0</v>
      </c>
      <c r="J8" s="41"/>
      <c r="K8" s="42"/>
      <c r="L8" s="43"/>
      <c r="M8" s="83">
        <f>(MIN(J8,L8)-T5)</f>
        <v>0</v>
      </c>
      <c r="N8" s="35"/>
      <c r="O8" s="36"/>
      <c r="P8" s="44"/>
      <c r="Q8" s="45"/>
      <c r="R8" s="46"/>
      <c r="S8" s="47"/>
      <c r="T8" s="48"/>
      <c r="U8" s="56"/>
      <c r="V8" s="57"/>
      <c r="W8" s="84"/>
      <c r="X8" s="85"/>
      <c r="Y8" s="86"/>
      <c r="Z8" s="53">
        <f t="shared" si="0"/>
        <v>0</v>
      </c>
      <c r="AA8" s="122" t="s">
        <v>26</v>
      </c>
      <c r="AB8" s="115"/>
      <c r="AC8" s="115"/>
      <c r="AD8" s="115"/>
      <c r="AE8" s="38"/>
      <c r="AF8" s="119" t="s">
        <v>49</v>
      </c>
      <c r="AG8" s="66"/>
      <c r="AH8" s="57"/>
    </row>
    <row r="9" spans="1:34" ht="15.75" customHeight="1" x14ac:dyDescent="0.2">
      <c r="A9" s="34" t="s">
        <v>28</v>
      </c>
      <c r="B9" s="35"/>
      <c r="C9" s="36"/>
      <c r="D9" s="37"/>
      <c r="E9" s="67"/>
      <c r="F9" s="39"/>
      <c r="G9" s="36"/>
      <c r="H9" s="37"/>
      <c r="I9" s="40"/>
      <c r="J9" s="41"/>
      <c r="K9" s="42"/>
      <c r="L9" s="43"/>
      <c r="M9" s="83">
        <f>(MIN(J9,L9)-T5)</f>
        <v>0</v>
      </c>
      <c r="N9" s="35"/>
      <c r="O9" s="36"/>
      <c r="P9" s="44"/>
      <c r="Q9" s="45"/>
      <c r="R9" s="46"/>
      <c r="S9" s="47"/>
      <c r="T9" s="48"/>
      <c r="U9" s="56"/>
      <c r="V9" s="57"/>
      <c r="W9" s="43"/>
      <c r="X9" s="87"/>
      <c r="Y9" s="88"/>
      <c r="Z9" s="53">
        <f t="shared" si="0"/>
        <v>0</v>
      </c>
      <c r="AA9" s="30" t="s">
        <v>29</v>
      </c>
      <c r="AB9" s="89"/>
      <c r="AC9" s="72"/>
      <c r="AD9" s="31"/>
      <c r="AE9" s="38"/>
      <c r="AF9" s="120"/>
      <c r="AG9" s="66"/>
      <c r="AH9" s="57"/>
    </row>
    <row r="10" spans="1:34" ht="15" customHeight="1" thickBot="1" x14ac:dyDescent="0.25">
      <c r="A10" s="82" t="s">
        <v>30</v>
      </c>
      <c r="B10" s="35"/>
      <c r="C10" s="36"/>
      <c r="D10" s="37"/>
      <c r="E10" s="67"/>
      <c r="F10" s="39"/>
      <c r="G10" s="36"/>
      <c r="H10" s="37"/>
      <c r="I10" s="40">
        <f>J10-J11</f>
        <v>0</v>
      </c>
      <c r="J10" s="41"/>
      <c r="K10" s="42"/>
      <c r="L10" s="43"/>
      <c r="M10" s="83">
        <f>(MIN(J10,L10)-T5)</f>
        <v>0</v>
      </c>
      <c r="N10" s="35"/>
      <c r="O10" s="36"/>
      <c r="P10" s="44"/>
      <c r="Q10" s="45"/>
      <c r="R10" s="46"/>
      <c r="S10" s="47"/>
      <c r="T10" s="48"/>
      <c r="U10" s="56"/>
      <c r="V10" s="57"/>
      <c r="W10" s="90"/>
      <c r="X10" s="91"/>
      <c r="Y10" s="92"/>
      <c r="Z10" s="53">
        <f t="shared" si="0"/>
        <v>0</v>
      </c>
      <c r="AA10" s="78" t="s">
        <v>14</v>
      </c>
      <c r="AB10" s="93"/>
      <c r="AC10" s="80"/>
      <c r="AD10" s="81"/>
      <c r="AE10" s="38"/>
      <c r="AF10" s="121"/>
      <c r="AG10" s="66"/>
      <c r="AH10" s="57"/>
    </row>
    <row r="11" spans="1:34" ht="15.75" customHeight="1" x14ac:dyDescent="0.2">
      <c r="A11" s="82" t="s">
        <v>31</v>
      </c>
      <c r="B11" s="35"/>
      <c r="C11" s="36"/>
      <c r="D11" s="37"/>
      <c r="E11" s="67"/>
      <c r="F11" s="39"/>
      <c r="G11" s="36"/>
      <c r="H11" s="37"/>
      <c r="I11" s="40">
        <f>K10-K11</f>
        <v>0</v>
      </c>
      <c r="J11" s="41"/>
      <c r="K11" s="42"/>
      <c r="L11" s="43"/>
      <c r="M11" s="40">
        <f>(MIN(J11,L11)-T5)</f>
        <v>0</v>
      </c>
      <c r="N11" s="35"/>
      <c r="O11" s="36"/>
      <c r="P11" s="44"/>
      <c r="Q11" s="45"/>
      <c r="R11" s="46"/>
      <c r="S11" s="47"/>
      <c r="T11" s="48"/>
      <c r="U11" s="56"/>
      <c r="V11" s="57"/>
      <c r="W11" s="94"/>
      <c r="X11" s="94"/>
      <c r="Y11" s="94"/>
      <c r="Z11" s="53">
        <f t="shared" si="0"/>
        <v>0</v>
      </c>
      <c r="AA11" s="95" t="s">
        <v>29</v>
      </c>
      <c r="AB11" s="96"/>
      <c r="AC11" s="97"/>
      <c r="AD11" s="20"/>
      <c r="AE11" s="38"/>
      <c r="AF11" s="119" t="s">
        <v>32</v>
      </c>
      <c r="AG11" s="66"/>
      <c r="AH11" s="57"/>
    </row>
    <row r="12" spans="1:34" ht="15" customHeight="1" thickBot="1" x14ac:dyDescent="0.25">
      <c r="A12" s="98" t="s">
        <v>19</v>
      </c>
      <c r="B12" s="79">
        <v>2.64</v>
      </c>
      <c r="C12" s="80">
        <v>3.65</v>
      </c>
      <c r="D12" s="99">
        <v>2.35</v>
      </c>
      <c r="E12" s="100"/>
      <c r="F12" s="93">
        <v>2.64</v>
      </c>
      <c r="G12" s="80">
        <v>3.65</v>
      </c>
      <c r="H12" s="99">
        <v>2.35</v>
      </c>
      <c r="I12" s="101">
        <f>L10-L11</f>
        <v>0</v>
      </c>
      <c r="J12" s="102"/>
      <c r="K12" s="103"/>
      <c r="L12" s="90"/>
      <c r="M12" s="101">
        <f>(MIN(J12,L12)-T5)</f>
        <v>0</v>
      </c>
      <c r="N12" s="79">
        <v>0.92</v>
      </c>
      <c r="O12" s="80">
        <v>0.98</v>
      </c>
      <c r="P12" s="81">
        <v>0.9</v>
      </c>
      <c r="Q12" s="104"/>
      <c r="R12" s="105"/>
      <c r="S12" s="106"/>
      <c r="T12" s="107"/>
      <c r="U12" s="108"/>
      <c r="V12" s="109"/>
      <c r="W12" s="110"/>
      <c r="X12" s="110"/>
      <c r="Y12" s="110"/>
      <c r="Z12" s="111">
        <f t="shared" si="0"/>
        <v>-2.35</v>
      </c>
      <c r="AA12" s="78" t="s">
        <v>14</v>
      </c>
      <c r="AB12" s="93"/>
      <c r="AC12" s="80"/>
      <c r="AD12" s="81"/>
      <c r="AE12" s="112"/>
      <c r="AF12" s="121"/>
      <c r="AG12" s="113"/>
      <c r="AH12" s="109"/>
    </row>
  </sheetData>
  <mergeCells count="14">
    <mergeCell ref="B1:D1"/>
    <mergeCell ref="F1:H1"/>
    <mergeCell ref="AF11:AF12"/>
    <mergeCell ref="AF4:AF5"/>
    <mergeCell ref="N1:P1"/>
    <mergeCell ref="Q1:S1"/>
    <mergeCell ref="AF2:AF3"/>
    <mergeCell ref="AA1:AD1"/>
    <mergeCell ref="J1:L1"/>
    <mergeCell ref="AF6:AF7"/>
    <mergeCell ref="AF8:AF10"/>
    <mergeCell ref="AA8:AD8"/>
    <mergeCell ref="T1:V1"/>
    <mergeCell ref="W1:Y1"/>
  </mergeCells>
  <phoneticPr fontId="1" type="noConversion"/>
  <conditionalFormatting sqref="B2:B12">
    <cfRule type="top10" dxfId="965" priority="139" bottom="1" rank="1"/>
    <cfRule type="top10" dxfId="964" priority="140" rank="1"/>
  </conditionalFormatting>
  <conditionalFormatting sqref="B2:D2">
    <cfRule type="cellIs" dxfId="963" priority="74" operator="greaterThan">
      <formula>B4</formula>
    </cfRule>
  </conditionalFormatting>
  <conditionalFormatting sqref="B3:D3">
    <cfRule type="cellIs" dxfId="962" priority="75" operator="greaterThan">
      <formula>B4</formula>
    </cfRule>
  </conditionalFormatting>
  <conditionalFormatting sqref="B6:D6">
    <cfRule type="cellIs" dxfId="961" priority="76" operator="greaterThan">
      <formula>B4</formula>
    </cfRule>
  </conditionalFormatting>
  <conditionalFormatting sqref="B7:D7">
    <cfRule type="cellIs" dxfId="960" priority="77" operator="greaterThan">
      <formula>B4</formula>
    </cfRule>
  </conditionalFormatting>
  <conditionalFormatting sqref="B8:D8">
    <cfRule type="cellIs" dxfId="959" priority="78" operator="greaterThan">
      <formula>B4</formula>
    </cfRule>
  </conditionalFormatting>
  <conditionalFormatting sqref="B9:D9">
    <cfRule type="cellIs" dxfId="958" priority="80" operator="greaterThan">
      <formula>B4</formula>
    </cfRule>
  </conditionalFormatting>
  <conditionalFormatting sqref="B10:D10">
    <cfRule type="cellIs" dxfId="957" priority="79" operator="greaterThan">
      <formula>B4</formula>
    </cfRule>
  </conditionalFormatting>
  <conditionalFormatting sqref="C2:C12">
    <cfRule type="top10" dxfId="956" priority="83" bottom="1" rank="1"/>
    <cfRule type="top10" dxfId="955" priority="84" rank="1"/>
  </conditionalFormatting>
  <conditionalFormatting sqref="D2:D12">
    <cfRule type="top10" dxfId="954" priority="81" bottom="1" rank="1"/>
    <cfRule type="top10" dxfId="953" priority="82" rank="1"/>
  </conditionalFormatting>
  <conditionalFormatting sqref="E2:E4">
    <cfRule type="top10" dxfId="952" priority="14" bottom="1" rank="1"/>
    <cfRule type="top10" dxfId="951" priority="15" rank="1"/>
  </conditionalFormatting>
  <conditionalFormatting sqref="E6:E8">
    <cfRule type="top10" dxfId="950" priority="12" bottom="1" rank="1"/>
    <cfRule type="top10" dxfId="949" priority="13" rank="1"/>
  </conditionalFormatting>
  <conditionalFormatting sqref="E10:E12">
    <cfRule type="top10" dxfId="948" priority="10" bottom="1" rank="1"/>
    <cfRule type="top10" dxfId="947" priority="11" rank="1"/>
  </conditionalFormatting>
  <conditionalFormatting sqref="F2:F12">
    <cfRule type="top10" dxfId="946" priority="72" bottom="1" rank="1"/>
    <cfRule type="top10" dxfId="945" priority="73" rank="1"/>
  </conditionalFormatting>
  <conditionalFormatting sqref="F2:H2">
    <cfRule type="cellIs" dxfId="944" priority="61" operator="greaterThan">
      <formula>F4</formula>
    </cfRule>
  </conditionalFormatting>
  <conditionalFormatting sqref="F3:H3">
    <cfRule type="cellIs" dxfId="943" priority="62" operator="greaterThan">
      <formula>F4</formula>
    </cfRule>
  </conditionalFormatting>
  <conditionalFormatting sqref="F6:H6">
    <cfRule type="cellIs" dxfId="942" priority="63" operator="greaterThan">
      <formula>F4</formula>
    </cfRule>
  </conditionalFormatting>
  <conditionalFormatting sqref="F7:H7">
    <cfRule type="cellIs" dxfId="941" priority="64" operator="greaterThan">
      <formula>F4</formula>
    </cfRule>
  </conditionalFormatting>
  <conditionalFormatting sqref="F8:H8">
    <cfRule type="cellIs" dxfId="940" priority="65" operator="greaterThan">
      <formula>F4</formula>
    </cfRule>
  </conditionalFormatting>
  <conditionalFormatting sqref="F9:H9">
    <cfRule type="cellIs" dxfId="939" priority="67" operator="greaterThan">
      <formula>F4</formula>
    </cfRule>
  </conditionalFormatting>
  <conditionalFormatting sqref="F10:H10">
    <cfRule type="cellIs" dxfId="938" priority="66" operator="greaterThan">
      <formula>F4</formula>
    </cfRule>
  </conditionalFormatting>
  <conditionalFormatting sqref="G2:G12">
    <cfRule type="top10" dxfId="937" priority="70" bottom="1" rank="1"/>
    <cfRule type="top10" dxfId="936" priority="71" rank="1"/>
  </conditionalFormatting>
  <conditionalFormatting sqref="H2:H12">
    <cfRule type="top10" dxfId="935" priority="68" bottom="1" rank="1"/>
    <cfRule type="top10" dxfId="934" priority="69" rank="1"/>
  </conditionalFormatting>
  <conditionalFormatting sqref="I2:I4">
    <cfRule type="top10" dxfId="933" priority="8" bottom="1" rank="1"/>
    <cfRule type="top10" dxfId="932" priority="9" rank="1"/>
  </conditionalFormatting>
  <conditionalFormatting sqref="I6:I8">
    <cfRule type="top10" dxfId="931" priority="6" bottom="1" rank="1"/>
    <cfRule type="top10" dxfId="930" priority="7" rank="1"/>
  </conditionalFormatting>
  <conditionalFormatting sqref="I10:I12">
    <cfRule type="top10" dxfId="929" priority="4" bottom="1" rank="1"/>
    <cfRule type="top10" dxfId="928" priority="5" rank="1"/>
  </conditionalFormatting>
  <conditionalFormatting sqref="J2:J12">
    <cfRule type="top10" dxfId="927" priority="20" bottom="1" rank="1"/>
    <cfRule type="top10" dxfId="926" priority="21" rank="1"/>
  </conditionalFormatting>
  <conditionalFormatting sqref="J1:L1">
    <cfRule type="top10" dxfId="925" priority="22" bottom="1" rank="1"/>
    <cfRule type="top10" dxfId="924" priority="23" rank="1"/>
  </conditionalFormatting>
  <conditionalFormatting sqref="J4:L4">
    <cfRule type="cellIs" dxfId="923" priority="1" operator="greaterThan">
      <formula>J11</formula>
    </cfRule>
  </conditionalFormatting>
  <conditionalFormatting sqref="J8:L8">
    <cfRule type="cellIs" dxfId="922" priority="3" operator="greaterThan">
      <formula>J10</formula>
    </cfRule>
  </conditionalFormatting>
  <conditionalFormatting sqref="J10:L10">
    <cfRule type="cellIs" dxfId="921" priority="2" operator="greaterThan">
      <formula>J11</formula>
    </cfRule>
  </conditionalFormatting>
  <conditionalFormatting sqref="K2:K12">
    <cfRule type="top10" dxfId="920" priority="18" bottom="1" rank="1"/>
    <cfRule type="top10" dxfId="919" priority="19" rank="1"/>
  </conditionalFormatting>
  <conditionalFormatting sqref="L2:L12">
    <cfRule type="top10" dxfId="918" priority="16" bottom="1" rank="1"/>
    <cfRule type="top10" dxfId="917" priority="17" rank="1"/>
  </conditionalFormatting>
  <conditionalFormatting sqref="M2:M12">
    <cfRule type="cellIs" dxfId="916" priority="137" operator="lessThan">
      <formula>0</formula>
    </cfRule>
    <cfRule type="cellIs" dxfId="915" priority="138" operator="greaterThan">
      <formula>0</formula>
    </cfRule>
  </conditionalFormatting>
  <conditionalFormatting sqref="N2:N12">
    <cfRule type="top10" dxfId="914" priority="131" bottom="1" rank="1"/>
    <cfRule type="top10" dxfId="913" priority="132" rank="1"/>
  </conditionalFormatting>
  <conditionalFormatting sqref="N9">
    <cfRule type="cellIs" dxfId="912" priority="135" stopIfTrue="1" operator="lessThan">
      <formula>N2</formula>
    </cfRule>
    <cfRule type="cellIs" dxfId="911" priority="136" operator="greaterThan">
      <formula>N2</formula>
    </cfRule>
  </conditionalFormatting>
  <conditionalFormatting sqref="N10">
    <cfRule type="cellIs" dxfId="910" priority="133" stopIfTrue="1" operator="lessThan">
      <formula>N2</formula>
    </cfRule>
    <cfRule type="cellIs" dxfId="909" priority="134" stopIfTrue="1" operator="greaterThan">
      <formula>N2</formula>
    </cfRule>
  </conditionalFormatting>
  <conditionalFormatting sqref="N1:P1">
    <cfRule type="top10" dxfId="908" priority="57" bottom="1" rank="1"/>
    <cfRule type="top10" dxfId="907" priority="58" rank="1"/>
  </conditionalFormatting>
  <conditionalFormatting sqref="N8:P8">
    <cfRule type="top10" dxfId="906" priority="95" bottom="1" rank="1"/>
    <cfRule type="top10" dxfId="905" priority="96" rank="1"/>
    <cfRule type="cellIs" dxfId="904" priority="123" operator="lessThan">
      <formula>N2</formula>
    </cfRule>
    <cfRule type="cellIs" dxfId="903" priority="124" operator="greaterThan">
      <formula>N2</formula>
    </cfRule>
  </conditionalFormatting>
  <conditionalFormatting sqref="N9:P9">
    <cfRule type="top10" dxfId="902" priority="93" bottom="1" rank="1"/>
    <cfRule type="top10" dxfId="901" priority="94" rank="1"/>
  </conditionalFormatting>
  <conditionalFormatting sqref="N10:P10">
    <cfRule type="top10" dxfId="900" priority="91" bottom="1" rank="1"/>
    <cfRule type="top10" dxfId="899" priority="92" rank="1"/>
  </conditionalFormatting>
  <conditionalFormatting sqref="O2:O12">
    <cfRule type="top10" dxfId="898" priority="125" bottom="1" rank="1"/>
    <cfRule type="top10" dxfId="897" priority="126" rank="1"/>
  </conditionalFormatting>
  <conditionalFormatting sqref="O9">
    <cfRule type="cellIs" dxfId="896" priority="129" stopIfTrue="1" operator="lessThan">
      <formula>O2</formula>
    </cfRule>
    <cfRule type="cellIs" dxfId="895" priority="130" operator="greaterThan">
      <formula>O2</formula>
    </cfRule>
  </conditionalFormatting>
  <conditionalFormatting sqref="O10">
    <cfRule type="cellIs" dxfId="894" priority="127" stopIfTrue="1" operator="lessThan">
      <formula>O2</formula>
    </cfRule>
    <cfRule type="cellIs" dxfId="893" priority="128" stopIfTrue="1" operator="greaterThan">
      <formula>O2</formula>
    </cfRule>
  </conditionalFormatting>
  <conditionalFormatting sqref="P2:P12">
    <cfRule type="top10" dxfId="892" priority="117" bottom="1" rank="1"/>
    <cfRule type="top10" dxfId="891" priority="118" rank="1"/>
  </conditionalFormatting>
  <conditionalFormatting sqref="P9">
    <cfRule type="cellIs" dxfId="890" priority="121" stopIfTrue="1" operator="lessThan">
      <formula>P2</formula>
    </cfRule>
    <cfRule type="cellIs" dxfId="889" priority="122" operator="greaterThan">
      <formula>P2</formula>
    </cfRule>
  </conditionalFormatting>
  <conditionalFormatting sqref="P10">
    <cfRule type="cellIs" dxfId="888" priority="119" stopIfTrue="1" operator="lessThan">
      <formula>P2</formula>
    </cfRule>
    <cfRule type="cellIs" dxfId="887" priority="120" stopIfTrue="1" operator="greaterThan">
      <formula>P2</formula>
    </cfRule>
  </conditionalFormatting>
  <conditionalFormatting sqref="R2:R12">
    <cfRule type="top10" dxfId="886" priority="111" bottom="1" rank="1"/>
    <cfRule type="top10" dxfId="885" priority="112" rank="1"/>
  </conditionalFormatting>
  <conditionalFormatting sqref="R9">
    <cfRule type="cellIs" dxfId="884" priority="115" stopIfTrue="1" operator="lessThan">
      <formula>R2</formula>
    </cfRule>
    <cfRule type="cellIs" dxfId="883" priority="116" operator="greaterThan">
      <formula>R2</formula>
    </cfRule>
  </conditionalFormatting>
  <conditionalFormatting sqref="R10">
    <cfRule type="cellIs" dxfId="882" priority="113" stopIfTrue="1" operator="lessThan">
      <formula>R2</formula>
    </cfRule>
    <cfRule type="cellIs" dxfId="881" priority="114" stopIfTrue="1" operator="greaterThan">
      <formula>R2</formula>
    </cfRule>
  </conditionalFormatting>
  <conditionalFormatting sqref="R1:T1">
    <cfRule type="top10" dxfId="880" priority="35" bottom="1" rank="1"/>
    <cfRule type="top10" dxfId="879" priority="36" rank="1"/>
  </conditionalFormatting>
  <conditionalFormatting sqref="R8:T8">
    <cfRule type="top10" dxfId="878" priority="89" bottom="1" rank="1"/>
    <cfRule type="top10" dxfId="877" priority="90" rank="1"/>
    <cfRule type="cellIs" dxfId="876" priority="103" operator="lessThan">
      <formula>R2</formula>
    </cfRule>
    <cfRule type="cellIs" dxfId="875" priority="104" operator="greaterThan">
      <formula>R2</formula>
    </cfRule>
  </conditionalFormatting>
  <conditionalFormatting sqref="R9:T9">
    <cfRule type="top10" dxfId="874" priority="87" bottom="1" rank="1"/>
    <cfRule type="top10" dxfId="873" priority="88" rank="1"/>
  </conditionalFormatting>
  <conditionalFormatting sqref="R10:T10">
    <cfRule type="top10" dxfId="872" priority="85" bottom="1" rank="1"/>
    <cfRule type="top10" dxfId="871" priority="86" rank="1"/>
  </conditionalFormatting>
  <conditionalFormatting sqref="S2:S12">
    <cfRule type="top10" dxfId="870" priority="105" bottom="1" rank="1"/>
    <cfRule type="top10" dxfId="869" priority="106" rank="1"/>
  </conditionalFormatting>
  <conditionalFormatting sqref="S9">
    <cfRule type="cellIs" dxfId="868" priority="109" stopIfTrue="1" operator="lessThan">
      <formula>S2</formula>
    </cfRule>
    <cfRule type="cellIs" dxfId="867" priority="110" operator="greaterThan">
      <formula>S2</formula>
    </cfRule>
  </conditionalFormatting>
  <conditionalFormatting sqref="S10">
    <cfRule type="cellIs" dxfId="866" priority="107" stopIfTrue="1" operator="lessThan">
      <formula>S2</formula>
    </cfRule>
    <cfRule type="cellIs" dxfId="865" priority="108" stopIfTrue="1" operator="greaterThan">
      <formula>S2</formula>
    </cfRule>
  </conditionalFormatting>
  <conditionalFormatting sqref="T2:T12">
    <cfRule type="top10" dxfId="864" priority="97" bottom="1" rank="1"/>
    <cfRule type="top10" dxfId="863" priority="98" rank="1"/>
  </conditionalFormatting>
  <conditionalFormatting sqref="T9">
    <cfRule type="cellIs" dxfId="862" priority="101" stopIfTrue="1" operator="lessThan">
      <formula>T2</formula>
    </cfRule>
    <cfRule type="cellIs" dxfId="861" priority="102" operator="greaterThan">
      <formula>T2</formula>
    </cfRule>
  </conditionalFormatting>
  <conditionalFormatting sqref="T10">
    <cfRule type="cellIs" dxfId="860" priority="99" stopIfTrue="1" operator="lessThan">
      <formula>T2</formula>
    </cfRule>
    <cfRule type="cellIs" dxfId="859" priority="100" stopIfTrue="1" operator="greaterThan">
      <formula>T2</formula>
    </cfRule>
  </conditionalFormatting>
  <conditionalFormatting sqref="V7:V11">
    <cfRule type="top10" dxfId="858" priority="29" bottom="1" rank="1"/>
    <cfRule type="top10" dxfId="857" priority="30" rank="1"/>
  </conditionalFormatting>
  <conditionalFormatting sqref="V1:X1">
    <cfRule type="top10" dxfId="856" priority="33" bottom="1" rank="1"/>
    <cfRule type="top10" dxfId="855" priority="34" rank="1"/>
  </conditionalFormatting>
  <conditionalFormatting sqref="V8:X8">
    <cfRule type="cellIs" dxfId="854" priority="24" operator="greaterThan">
      <formula>V9</formula>
    </cfRule>
  </conditionalFormatting>
  <conditionalFormatting sqref="W7:W11">
    <cfRule type="top10" dxfId="853" priority="27" bottom="1" rank="1"/>
    <cfRule type="top10" dxfId="852" priority="28" rank="1"/>
  </conditionalFormatting>
  <conditionalFormatting sqref="X7:X11">
    <cfRule type="top10" dxfId="851" priority="25" bottom="1" rank="1"/>
    <cfRule type="top10" dxfId="850" priority="26" rank="1"/>
  </conditionalFormatting>
  <conditionalFormatting sqref="Z6:Z7">
    <cfRule type="cellIs" dxfId="849" priority="160" operator="lessThan">
      <formula>Z2</formula>
    </cfRule>
    <cfRule type="cellIs" dxfId="848" priority="161" operator="greaterThan">
      <formula>Z2</formula>
    </cfRule>
  </conditionalFormatting>
  <conditionalFormatting sqref="Z9:Z10">
    <cfRule type="top10" dxfId="847" priority="47" bottom="1" rank="1"/>
    <cfRule type="top10" dxfId="846" priority="48" rank="1"/>
  </conditionalFormatting>
  <conditionalFormatting sqref="Z11:Z12">
    <cfRule type="top10" dxfId="845" priority="41" bottom="1" rank="1"/>
    <cfRule type="top10" dxfId="844" priority="42" rank="1"/>
  </conditionalFormatting>
  <conditionalFormatting sqref="Z9:AB10">
    <cfRule type="cellIs" dxfId="843" priority="49" operator="lessThan">
      <formula>Z11</formula>
    </cfRule>
    <cfRule type="cellIs" dxfId="842" priority="50" operator="greaterThan">
      <formula>Z11</formula>
    </cfRule>
  </conditionalFormatting>
  <conditionalFormatting sqref="AA9:AA10">
    <cfRule type="top10" dxfId="841" priority="45" bottom="1" rank="1"/>
    <cfRule type="top10" dxfId="840" priority="46" rank="1"/>
  </conditionalFormatting>
  <conditionalFormatting sqref="AA11:AA12">
    <cfRule type="top10" dxfId="839" priority="39" bottom="1" rank="1"/>
    <cfRule type="top10" dxfId="838" priority="40" rank="1"/>
  </conditionalFormatting>
  <conditionalFormatting sqref="AB6:AB7">
    <cfRule type="cellIs" dxfId="837" priority="158" operator="lessThan">
      <formula>AB2</formula>
    </cfRule>
    <cfRule type="cellIs" dxfId="836" priority="159" operator="greaterThan">
      <formula>AB2</formula>
    </cfRule>
  </conditionalFormatting>
  <conditionalFormatting sqref="AB9:AB10">
    <cfRule type="top10" dxfId="835" priority="43" bottom="1" rank="1"/>
    <cfRule type="top10" dxfId="834" priority="44" rank="1"/>
  </conditionalFormatting>
  <conditionalFormatting sqref="AB11:AB12">
    <cfRule type="top10" dxfId="833" priority="37" bottom="1" rank="1"/>
    <cfRule type="top10" dxfId="832" priority="38" rank="1"/>
  </conditionalFormatting>
  <conditionalFormatting sqref="AC5:AC7">
    <cfRule type="cellIs" dxfId="831" priority="59" operator="lessThan">
      <formula>AC2</formula>
    </cfRule>
    <cfRule type="cellIs" dxfId="830" priority="60" operator="greaterThan">
      <formula>AC2</formula>
    </cfRule>
  </conditionalFormatting>
  <conditionalFormatting sqref="AC10:AC12">
    <cfRule type="top10" dxfId="829" priority="31" rank="1"/>
    <cfRule type="top10" dxfId="828" priority="32" bottom="1" rank="1"/>
  </conditionalFormatting>
  <conditionalFormatting sqref="AE1:AG1">
    <cfRule type="top10" dxfId="827" priority="55" bottom="1" rank="1"/>
    <cfRule type="top10" dxfId="826" priority="56" rank="1"/>
  </conditionalFormatting>
  <conditionalFormatting sqref="AE2:AG2">
    <cfRule type="top10" dxfId="825" priority="53" bottom="1" rank="1"/>
    <cfRule type="top10" dxfId="824" priority="54" rank="1"/>
  </conditionalFormatting>
  <conditionalFormatting sqref="AE3:AG3">
    <cfRule type="top10" dxfId="823" priority="51" bottom="1" rank="1"/>
    <cfRule type="top10" dxfId="822" priority="52" rank="1"/>
  </conditionalFormatting>
  <conditionalFormatting sqref="AE4:AG4">
    <cfRule type="cellIs" dxfId="821" priority="154" operator="lessThan">
      <formula>AE2</formula>
    </cfRule>
    <cfRule type="cellIs" dxfId="820" priority="155" operator="greaterThan">
      <formula>AE2</formula>
    </cfRule>
  </conditionalFormatting>
  <conditionalFormatting sqref="AE5:AG5">
    <cfRule type="top10" dxfId="819" priority="156" bottom="1" rank="1"/>
    <cfRule type="top10" dxfId="818" priority="157" rank="1"/>
  </conditionalFormatting>
  <conditionalFormatting sqref="AE7:AG7">
    <cfRule type="top10" dxfId="817" priority="152" bottom="1" rank="1"/>
    <cfRule type="top10" dxfId="816" priority="153" rank="1"/>
  </conditionalFormatting>
  <conditionalFormatting sqref="AE8:AG8">
    <cfRule type="cellIs" dxfId="815" priority="148" operator="lessThan">
      <formula>AE7</formula>
    </cfRule>
    <cfRule type="cellIs" dxfId="814" priority="149" operator="greaterThan">
      <formula>AE7</formula>
    </cfRule>
  </conditionalFormatting>
  <conditionalFormatting sqref="AE9:AG9">
    <cfRule type="cellIs" dxfId="813" priority="146" operator="lessThan">
      <formula>AE7</formula>
    </cfRule>
    <cfRule type="cellIs" dxfId="812" priority="147" operator="greaterThan">
      <formula>AE7</formula>
    </cfRule>
  </conditionalFormatting>
  <conditionalFormatting sqref="AE10:AG10">
    <cfRule type="top10" dxfId="811" priority="150" bottom="1" rank="1"/>
    <cfRule type="top10" dxfId="810" priority="151" rank="1"/>
  </conditionalFormatting>
  <conditionalFormatting sqref="AE11:AG11">
    <cfRule type="cellIs" dxfId="809" priority="144" operator="lessThan">
      <formula>0</formula>
    </cfRule>
    <cfRule type="cellIs" dxfId="808" priority="145" operator="greaterThan">
      <formula>0</formula>
    </cfRule>
  </conditionalFormatting>
  <conditionalFormatting sqref="AE12:AG12">
    <cfRule type="top10" dxfId="807" priority="141" bottom="1" rank="1"/>
    <cfRule type="cellIs" dxfId="806" priority="142" operator="greaterThan">
      <formula>0</formula>
    </cfRule>
    <cfRule type="cellIs" dxfId="805" priority="143" operator="lessThan">
      <formula>0</formula>
    </cfRule>
  </conditionalFormatting>
  <pageMargins left="0.7" right="0.7" top="0.75" bottom="0.75" header="0.3" footer="0.3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AH12"/>
  <sheetViews>
    <sheetView workbookViewId="0">
      <selection activeCell="A4" sqref="A4"/>
    </sheetView>
  </sheetViews>
  <sheetFormatPr defaultRowHeight="14.25" x14ac:dyDescent="0.2"/>
  <sheetData>
    <row r="1" spans="1:34" ht="15" customHeight="1" thickBot="1" x14ac:dyDescent="0.25">
      <c r="A1" s="1" t="s">
        <v>50</v>
      </c>
      <c r="B1" s="125" t="s">
        <v>51</v>
      </c>
      <c r="C1" s="126"/>
      <c r="D1" s="126"/>
      <c r="E1" s="2" t="s">
        <v>2</v>
      </c>
      <c r="F1" s="127" t="s">
        <v>52</v>
      </c>
      <c r="G1" s="126"/>
      <c r="H1" s="126"/>
      <c r="I1" s="3" t="s">
        <v>2</v>
      </c>
      <c r="J1" s="114" t="s">
        <v>4</v>
      </c>
      <c r="K1" s="115"/>
      <c r="L1" s="116"/>
      <c r="M1" s="2" t="s">
        <v>2</v>
      </c>
      <c r="N1" s="114" t="s">
        <v>5</v>
      </c>
      <c r="O1" s="115"/>
      <c r="P1" s="116"/>
      <c r="Q1" s="114" t="s">
        <v>6</v>
      </c>
      <c r="R1" s="115"/>
      <c r="S1" s="116"/>
      <c r="T1" s="123" t="s">
        <v>2</v>
      </c>
      <c r="U1" s="115"/>
      <c r="V1" s="116"/>
      <c r="W1" s="124" t="s">
        <v>7</v>
      </c>
      <c r="X1" s="115"/>
      <c r="Y1" s="115"/>
      <c r="Z1" s="2" t="s">
        <v>8</v>
      </c>
      <c r="AA1" s="129" t="s">
        <v>9</v>
      </c>
      <c r="AB1" s="126"/>
      <c r="AC1" s="126"/>
      <c r="AD1" s="126"/>
      <c r="AE1" s="4" t="s">
        <v>2</v>
      </c>
      <c r="AF1" s="5" t="s">
        <v>10</v>
      </c>
      <c r="AG1" s="6" t="s">
        <v>11</v>
      </c>
      <c r="AH1" s="7" t="s">
        <v>12</v>
      </c>
    </row>
    <row r="2" spans="1:34" ht="15.75" customHeight="1" x14ac:dyDescent="0.2">
      <c r="A2" s="8" t="s">
        <v>13</v>
      </c>
      <c r="B2" s="9">
        <v>2.2799999999999998</v>
      </c>
      <c r="C2" s="10">
        <v>3.05</v>
      </c>
      <c r="D2" s="11">
        <v>3.07</v>
      </c>
      <c r="E2" s="12"/>
      <c r="F2" s="13">
        <v>2.27</v>
      </c>
      <c r="G2" s="10">
        <v>3.09</v>
      </c>
      <c r="H2" s="11">
        <v>3.04</v>
      </c>
      <c r="I2" s="14">
        <f>B10-B11</f>
        <v>0</v>
      </c>
      <c r="J2" s="15"/>
      <c r="K2" s="16"/>
      <c r="L2" s="17"/>
      <c r="M2" s="14">
        <f>(MIN(J2,L2)-T5)</f>
        <v>0</v>
      </c>
      <c r="N2" s="18">
        <v>0.91</v>
      </c>
      <c r="O2" s="19">
        <v>0.91</v>
      </c>
      <c r="P2" s="20">
        <v>0.91</v>
      </c>
      <c r="Q2" s="21"/>
      <c r="R2" s="22"/>
      <c r="S2" s="23"/>
      <c r="T2" s="24"/>
      <c r="U2" s="25"/>
      <c r="V2" s="26"/>
      <c r="W2" s="27"/>
      <c r="X2" s="28"/>
      <c r="Y2" s="27"/>
      <c r="Z2" s="29"/>
      <c r="AA2" s="30" t="s">
        <v>14</v>
      </c>
      <c r="AB2" s="9"/>
      <c r="AC2" s="10"/>
      <c r="AD2" s="31"/>
      <c r="AE2" s="32"/>
      <c r="AF2" s="117" t="s">
        <v>53</v>
      </c>
      <c r="AG2" s="33"/>
      <c r="AH2" s="26"/>
    </row>
    <row r="3" spans="1:34" ht="15" customHeight="1" thickBot="1" x14ac:dyDescent="0.25">
      <c r="A3" s="34" t="s">
        <v>16</v>
      </c>
      <c r="B3" s="35"/>
      <c r="C3" s="36"/>
      <c r="D3" s="37"/>
      <c r="E3" s="38"/>
      <c r="F3" s="39"/>
      <c r="G3" s="36"/>
      <c r="H3" s="37"/>
      <c r="I3" s="40">
        <f>C10-C11</f>
        <v>0</v>
      </c>
      <c r="J3" s="41"/>
      <c r="K3" s="42"/>
      <c r="L3" s="43"/>
      <c r="M3" s="40">
        <f>(MIN(J3,L3)-T5)</f>
        <v>0</v>
      </c>
      <c r="N3" s="35"/>
      <c r="O3" s="36"/>
      <c r="P3" s="44"/>
      <c r="Q3" s="45"/>
      <c r="R3" s="46"/>
      <c r="S3" s="47"/>
      <c r="T3" s="48"/>
      <c r="U3" s="49"/>
      <c r="V3" s="50"/>
      <c r="W3" s="51"/>
      <c r="X3" s="52"/>
      <c r="Y3" s="51"/>
      <c r="Z3" s="53">
        <f t="shared" ref="Z3:Z12" si="0">(MIN(J3,L3)-MIN(B3,D3))</f>
        <v>0</v>
      </c>
      <c r="AA3" s="54" t="s">
        <v>17</v>
      </c>
      <c r="AB3" s="35"/>
      <c r="AC3" s="36"/>
      <c r="AD3" s="44"/>
      <c r="AE3" s="38"/>
      <c r="AF3" s="118"/>
      <c r="AG3" s="55"/>
      <c r="AH3" s="50"/>
    </row>
    <row r="4" spans="1:34" ht="16.5" customHeight="1" thickBot="1" x14ac:dyDescent="0.25">
      <c r="A4" s="34" t="s">
        <v>18</v>
      </c>
      <c r="B4" s="35"/>
      <c r="C4" s="36"/>
      <c r="D4" s="37"/>
      <c r="E4" s="38"/>
      <c r="F4" s="39"/>
      <c r="G4" s="36"/>
      <c r="H4" s="37"/>
      <c r="I4" s="40">
        <f>D10-D11</f>
        <v>0</v>
      </c>
      <c r="J4" s="41"/>
      <c r="K4" s="42"/>
      <c r="L4" s="43"/>
      <c r="M4" s="40">
        <f>(MIN(J4,L4)-T5)</f>
        <v>0</v>
      </c>
      <c r="N4" s="35"/>
      <c r="O4" s="36"/>
      <c r="P4" s="44"/>
      <c r="Q4" s="45"/>
      <c r="R4" s="46"/>
      <c r="S4" s="47"/>
      <c r="T4" s="48"/>
      <c r="U4" s="56"/>
      <c r="V4" s="57"/>
      <c r="W4" s="58"/>
      <c r="X4" s="59"/>
      <c r="Y4" s="60"/>
      <c r="Z4" s="53">
        <f t="shared" si="0"/>
        <v>0</v>
      </c>
      <c r="AA4" s="61" t="s">
        <v>19</v>
      </c>
      <c r="AB4" s="62"/>
      <c r="AC4" s="63"/>
      <c r="AD4" s="64"/>
      <c r="AE4" s="65"/>
      <c r="AF4" s="128" t="s">
        <v>54</v>
      </c>
      <c r="AG4" s="66"/>
      <c r="AH4" s="57"/>
    </row>
    <row r="5" spans="1:34" ht="16.5" customHeight="1" thickBot="1" x14ac:dyDescent="0.25">
      <c r="A5" s="34" t="s">
        <v>21</v>
      </c>
      <c r="B5" s="35"/>
      <c r="C5" s="36"/>
      <c r="D5" s="37"/>
      <c r="E5" s="67"/>
      <c r="F5" s="39"/>
      <c r="G5" s="36"/>
      <c r="H5" s="37"/>
      <c r="I5" s="40"/>
      <c r="J5" s="41"/>
      <c r="K5" s="42"/>
      <c r="L5" s="43"/>
      <c r="M5" s="40">
        <f>(MIN(J5,L5)-T5)</f>
        <v>0</v>
      </c>
      <c r="N5" s="35"/>
      <c r="O5" s="36"/>
      <c r="P5" s="44"/>
      <c r="Q5" s="45"/>
      <c r="R5" s="46"/>
      <c r="S5" s="47"/>
      <c r="T5" s="48"/>
      <c r="U5" s="56"/>
      <c r="V5" s="57"/>
      <c r="W5" s="68"/>
      <c r="X5" s="69"/>
      <c r="Y5" s="70"/>
      <c r="Z5" s="53">
        <f t="shared" si="0"/>
        <v>0</v>
      </c>
      <c r="AA5" s="30" t="s">
        <v>14</v>
      </c>
      <c r="AB5" s="71"/>
      <c r="AC5" s="72"/>
      <c r="AD5" s="31"/>
      <c r="AE5" s="38"/>
      <c r="AF5" s="118"/>
      <c r="AG5" s="66"/>
      <c r="AH5" s="57"/>
    </row>
    <row r="6" spans="1:34" ht="15.75" customHeight="1" x14ac:dyDescent="0.2">
      <c r="A6" s="34" t="s">
        <v>22</v>
      </c>
      <c r="B6" s="35"/>
      <c r="C6" s="36"/>
      <c r="D6" s="37"/>
      <c r="E6" s="38"/>
      <c r="F6" s="39"/>
      <c r="G6" s="36"/>
      <c r="H6" s="37"/>
      <c r="I6" s="40">
        <f>F10-F11</f>
        <v>0</v>
      </c>
      <c r="J6" s="41"/>
      <c r="K6" s="42"/>
      <c r="L6" s="43"/>
      <c r="M6" s="40">
        <f>(MIN(J6,L6)-T5)</f>
        <v>0</v>
      </c>
      <c r="N6" s="35"/>
      <c r="O6" s="36"/>
      <c r="P6" s="44"/>
      <c r="Q6" s="45"/>
      <c r="R6" s="46"/>
      <c r="S6" s="47"/>
      <c r="T6" s="48"/>
      <c r="U6" s="73"/>
      <c r="V6" s="74"/>
      <c r="W6" s="75"/>
      <c r="X6" s="52"/>
      <c r="Y6" s="51"/>
      <c r="Z6" s="53">
        <f t="shared" si="0"/>
        <v>0</v>
      </c>
      <c r="AA6" s="54" t="s">
        <v>17</v>
      </c>
      <c r="AB6" s="35"/>
      <c r="AC6" s="36"/>
      <c r="AD6" s="44"/>
      <c r="AE6" s="65"/>
      <c r="AF6" s="117" t="s">
        <v>55</v>
      </c>
      <c r="AG6" s="76"/>
      <c r="AH6" s="74"/>
    </row>
    <row r="7" spans="1:34" ht="15" customHeight="1" thickBot="1" x14ac:dyDescent="0.25">
      <c r="A7" s="34" t="s">
        <v>24</v>
      </c>
      <c r="B7" s="35"/>
      <c r="C7" s="36"/>
      <c r="D7" s="37"/>
      <c r="E7" s="38"/>
      <c r="F7" s="39"/>
      <c r="G7" s="36"/>
      <c r="H7" s="37"/>
      <c r="I7" s="40">
        <f>G10-G11</f>
        <v>0</v>
      </c>
      <c r="J7" s="41"/>
      <c r="K7" s="42"/>
      <c r="L7" s="43"/>
      <c r="M7" s="40">
        <f>(MIN(J7,L7)-T5)</f>
        <v>0</v>
      </c>
      <c r="N7" s="35"/>
      <c r="O7" s="36"/>
      <c r="P7" s="44"/>
      <c r="Q7" s="45"/>
      <c r="R7" s="46"/>
      <c r="S7" s="47"/>
      <c r="T7" s="48"/>
      <c r="U7" s="56"/>
      <c r="V7" s="57"/>
      <c r="W7" s="77"/>
      <c r="X7" s="59"/>
      <c r="Y7" s="58"/>
      <c r="Z7" s="53">
        <f t="shared" si="0"/>
        <v>0</v>
      </c>
      <c r="AA7" s="78" t="s">
        <v>19</v>
      </c>
      <c r="AB7" s="79"/>
      <c r="AC7" s="80"/>
      <c r="AD7" s="81"/>
      <c r="AE7" s="38"/>
      <c r="AF7" s="118"/>
      <c r="AG7" s="66"/>
      <c r="AH7" s="57"/>
    </row>
    <row r="8" spans="1:34" ht="15" customHeight="1" thickBot="1" x14ac:dyDescent="0.25">
      <c r="A8" s="82" t="s">
        <v>25</v>
      </c>
      <c r="B8" s="35"/>
      <c r="C8" s="36"/>
      <c r="D8" s="37"/>
      <c r="E8" s="38"/>
      <c r="F8" s="39"/>
      <c r="G8" s="36"/>
      <c r="H8" s="37"/>
      <c r="I8" s="40">
        <f>H10-H11</f>
        <v>0</v>
      </c>
      <c r="J8" s="41"/>
      <c r="K8" s="42"/>
      <c r="L8" s="43"/>
      <c r="M8" s="83">
        <f>(MIN(J8,L8)-T5)</f>
        <v>0</v>
      </c>
      <c r="N8" s="35"/>
      <c r="O8" s="36"/>
      <c r="P8" s="44"/>
      <c r="Q8" s="45"/>
      <c r="R8" s="46"/>
      <c r="S8" s="47"/>
      <c r="T8" s="48"/>
      <c r="U8" s="56"/>
      <c r="V8" s="57"/>
      <c r="W8" s="84"/>
      <c r="X8" s="85"/>
      <c r="Y8" s="86"/>
      <c r="Z8" s="53">
        <f t="shared" si="0"/>
        <v>0</v>
      </c>
      <c r="AA8" s="122" t="s">
        <v>26</v>
      </c>
      <c r="AB8" s="115"/>
      <c r="AC8" s="115"/>
      <c r="AD8" s="115"/>
      <c r="AE8" s="38"/>
      <c r="AF8" s="119" t="s">
        <v>56</v>
      </c>
      <c r="AG8" s="66"/>
      <c r="AH8" s="57"/>
    </row>
    <row r="9" spans="1:34" ht="15.75" customHeight="1" x14ac:dyDescent="0.2">
      <c r="A9" s="34" t="s">
        <v>28</v>
      </c>
      <c r="B9" s="35"/>
      <c r="C9" s="36"/>
      <c r="D9" s="37"/>
      <c r="E9" s="67"/>
      <c r="F9" s="39"/>
      <c r="G9" s="36"/>
      <c r="H9" s="37"/>
      <c r="I9" s="40"/>
      <c r="J9" s="41"/>
      <c r="K9" s="42"/>
      <c r="L9" s="43"/>
      <c r="M9" s="83">
        <f>(MIN(J9,L9)-T5)</f>
        <v>0</v>
      </c>
      <c r="N9" s="35"/>
      <c r="O9" s="36"/>
      <c r="P9" s="44"/>
      <c r="Q9" s="45"/>
      <c r="R9" s="46"/>
      <c r="S9" s="47"/>
      <c r="T9" s="48"/>
      <c r="U9" s="56"/>
      <c r="V9" s="57"/>
      <c r="W9" s="43"/>
      <c r="X9" s="87"/>
      <c r="Y9" s="88"/>
      <c r="Z9" s="53">
        <f t="shared" si="0"/>
        <v>0</v>
      </c>
      <c r="AA9" s="30" t="s">
        <v>29</v>
      </c>
      <c r="AB9" s="89"/>
      <c r="AC9" s="72"/>
      <c r="AD9" s="31"/>
      <c r="AE9" s="38"/>
      <c r="AF9" s="120"/>
      <c r="AG9" s="66"/>
      <c r="AH9" s="57"/>
    </row>
    <row r="10" spans="1:34" ht="15" customHeight="1" thickBot="1" x14ac:dyDescent="0.25">
      <c r="A10" s="82" t="s">
        <v>30</v>
      </c>
      <c r="B10" s="35"/>
      <c r="C10" s="36"/>
      <c r="D10" s="37"/>
      <c r="E10" s="67"/>
      <c r="F10" s="39"/>
      <c r="G10" s="36"/>
      <c r="H10" s="37"/>
      <c r="I10" s="40">
        <f>J10-J11</f>
        <v>0</v>
      </c>
      <c r="J10" s="41"/>
      <c r="K10" s="42"/>
      <c r="L10" s="43"/>
      <c r="M10" s="83">
        <f>(MIN(J10,L10)-T5)</f>
        <v>0</v>
      </c>
      <c r="N10" s="35"/>
      <c r="O10" s="36"/>
      <c r="P10" s="44"/>
      <c r="Q10" s="45"/>
      <c r="R10" s="46"/>
      <c r="S10" s="47"/>
      <c r="T10" s="48"/>
      <c r="U10" s="56"/>
      <c r="V10" s="57"/>
      <c r="W10" s="90"/>
      <c r="X10" s="91"/>
      <c r="Y10" s="92"/>
      <c r="Z10" s="53">
        <f t="shared" si="0"/>
        <v>0</v>
      </c>
      <c r="AA10" s="78" t="s">
        <v>14</v>
      </c>
      <c r="AB10" s="93"/>
      <c r="AC10" s="80"/>
      <c r="AD10" s="81"/>
      <c r="AE10" s="38"/>
      <c r="AF10" s="121"/>
      <c r="AG10" s="66"/>
      <c r="AH10" s="57"/>
    </row>
    <row r="11" spans="1:34" ht="15.75" customHeight="1" x14ac:dyDescent="0.2">
      <c r="A11" s="82" t="s">
        <v>31</v>
      </c>
      <c r="B11" s="35"/>
      <c r="C11" s="36"/>
      <c r="D11" s="37"/>
      <c r="E11" s="67"/>
      <c r="F11" s="39"/>
      <c r="G11" s="36"/>
      <c r="H11" s="37"/>
      <c r="I11" s="40">
        <f>K10-K11</f>
        <v>0</v>
      </c>
      <c r="J11" s="41"/>
      <c r="K11" s="42"/>
      <c r="L11" s="43"/>
      <c r="M11" s="40">
        <f>(MIN(J11,L11)-T5)</f>
        <v>0</v>
      </c>
      <c r="N11" s="35"/>
      <c r="O11" s="36"/>
      <c r="P11" s="44"/>
      <c r="Q11" s="45"/>
      <c r="R11" s="46"/>
      <c r="S11" s="47"/>
      <c r="T11" s="48"/>
      <c r="U11" s="56"/>
      <c r="V11" s="57"/>
      <c r="W11" s="94"/>
      <c r="X11" s="94"/>
      <c r="Y11" s="94"/>
      <c r="Z11" s="53">
        <f t="shared" si="0"/>
        <v>0</v>
      </c>
      <c r="AA11" s="95" t="s">
        <v>29</v>
      </c>
      <c r="AB11" s="96"/>
      <c r="AC11" s="97"/>
      <c r="AD11" s="20"/>
      <c r="AE11" s="38"/>
      <c r="AF11" s="119" t="s">
        <v>32</v>
      </c>
      <c r="AG11" s="66"/>
      <c r="AH11" s="57"/>
    </row>
    <row r="12" spans="1:34" ht="15" customHeight="1" thickBot="1" x14ac:dyDescent="0.25">
      <c r="A12" s="98" t="s">
        <v>19</v>
      </c>
      <c r="B12" s="79"/>
      <c r="C12" s="80"/>
      <c r="D12" s="99"/>
      <c r="E12" s="100"/>
      <c r="F12" s="93"/>
      <c r="G12" s="80"/>
      <c r="H12" s="99"/>
      <c r="I12" s="101">
        <f>L10-L11</f>
        <v>0</v>
      </c>
      <c r="J12" s="102"/>
      <c r="K12" s="103"/>
      <c r="L12" s="90"/>
      <c r="M12" s="101">
        <f>(MIN(J12,L12)-T5)</f>
        <v>0</v>
      </c>
      <c r="N12" s="79"/>
      <c r="O12" s="80"/>
      <c r="P12" s="81"/>
      <c r="Q12" s="104"/>
      <c r="R12" s="105"/>
      <c r="S12" s="106"/>
      <c r="T12" s="107"/>
      <c r="U12" s="108"/>
      <c r="V12" s="109"/>
      <c r="W12" s="110"/>
      <c r="X12" s="110"/>
      <c r="Y12" s="110"/>
      <c r="Z12" s="111">
        <f t="shared" si="0"/>
        <v>0</v>
      </c>
      <c r="AA12" s="78" t="s">
        <v>14</v>
      </c>
      <c r="AB12" s="93"/>
      <c r="AC12" s="80"/>
      <c r="AD12" s="81"/>
      <c r="AE12" s="112"/>
      <c r="AF12" s="121"/>
      <c r="AG12" s="113"/>
      <c r="AH12" s="109"/>
    </row>
  </sheetData>
  <mergeCells count="14">
    <mergeCell ref="B1:D1"/>
    <mergeCell ref="F1:H1"/>
    <mergeCell ref="AF11:AF12"/>
    <mergeCell ref="AF4:AF5"/>
    <mergeCell ref="N1:P1"/>
    <mergeCell ref="Q1:S1"/>
    <mergeCell ref="AF2:AF3"/>
    <mergeCell ref="AA1:AD1"/>
    <mergeCell ref="J1:L1"/>
    <mergeCell ref="AF6:AF7"/>
    <mergeCell ref="AF8:AF10"/>
    <mergeCell ref="AA8:AD8"/>
    <mergeCell ref="T1:V1"/>
    <mergeCell ref="W1:Y1"/>
  </mergeCells>
  <phoneticPr fontId="1" type="noConversion"/>
  <conditionalFormatting sqref="B2:B12">
    <cfRule type="top10" dxfId="804" priority="139" bottom="1" rank="1"/>
    <cfRule type="top10" dxfId="803" priority="140" rank="1"/>
  </conditionalFormatting>
  <conditionalFormatting sqref="B2:D2">
    <cfRule type="cellIs" dxfId="802" priority="74" operator="greaterThan">
      <formula>B4</formula>
    </cfRule>
  </conditionalFormatting>
  <conditionalFormatting sqref="B3:D3">
    <cfRule type="cellIs" dxfId="801" priority="75" operator="greaterThan">
      <formula>B4</formula>
    </cfRule>
  </conditionalFormatting>
  <conditionalFormatting sqref="B6:D6">
    <cfRule type="cellIs" dxfId="800" priority="76" operator="greaterThan">
      <formula>B4</formula>
    </cfRule>
  </conditionalFormatting>
  <conditionalFormatting sqref="B7:D7">
    <cfRule type="cellIs" dxfId="799" priority="77" operator="greaterThan">
      <formula>B4</formula>
    </cfRule>
  </conditionalFormatting>
  <conditionalFormatting sqref="B8:D8">
    <cfRule type="cellIs" dxfId="798" priority="78" operator="greaterThan">
      <formula>B4</formula>
    </cfRule>
  </conditionalFormatting>
  <conditionalFormatting sqref="B9:D9">
    <cfRule type="cellIs" dxfId="797" priority="80" operator="greaterThan">
      <formula>B4</formula>
    </cfRule>
  </conditionalFormatting>
  <conditionalFormatting sqref="B10:D10">
    <cfRule type="cellIs" dxfId="796" priority="79" operator="greaterThan">
      <formula>B4</formula>
    </cfRule>
  </conditionalFormatting>
  <conditionalFormatting sqref="C2:C12">
    <cfRule type="top10" dxfId="795" priority="83" bottom="1" rank="1"/>
    <cfRule type="top10" dxfId="794" priority="84" rank="1"/>
  </conditionalFormatting>
  <conditionalFormatting sqref="D2:D12">
    <cfRule type="top10" dxfId="793" priority="81" bottom="1" rank="1"/>
    <cfRule type="top10" dxfId="792" priority="82" rank="1"/>
  </conditionalFormatting>
  <conditionalFormatting sqref="E2:E4">
    <cfRule type="top10" dxfId="791" priority="14" bottom="1" rank="1"/>
    <cfRule type="top10" dxfId="790" priority="15" rank="1"/>
  </conditionalFormatting>
  <conditionalFormatting sqref="E6:E8">
    <cfRule type="top10" dxfId="789" priority="12" bottom="1" rank="1"/>
    <cfRule type="top10" dxfId="788" priority="13" rank="1"/>
  </conditionalFormatting>
  <conditionalFormatting sqref="E10:E12">
    <cfRule type="top10" dxfId="787" priority="10" bottom="1" rank="1"/>
    <cfRule type="top10" dxfId="786" priority="11" rank="1"/>
  </conditionalFormatting>
  <conditionalFormatting sqref="F2:F12">
    <cfRule type="top10" dxfId="785" priority="72" bottom="1" rank="1"/>
    <cfRule type="top10" dxfId="784" priority="73" rank="1"/>
  </conditionalFormatting>
  <conditionalFormatting sqref="F2:H2">
    <cfRule type="cellIs" dxfId="783" priority="61" operator="greaterThan">
      <formula>F4</formula>
    </cfRule>
  </conditionalFormatting>
  <conditionalFormatting sqref="F3:H3">
    <cfRule type="cellIs" dxfId="782" priority="62" operator="greaterThan">
      <formula>F4</formula>
    </cfRule>
  </conditionalFormatting>
  <conditionalFormatting sqref="F6:H6">
    <cfRule type="cellIs" dxfId="781" priority="63" operator="greaterThan">
      <formula>F4</formula>
    </cfRule>
  </conditionalFormatting>
  <conditionalFormatting sqref="F7:H7">
    <cfRule type="cellIs" dxfId="780" priority="64" operator="greaterThan">
      <formula>F4</formula>
    </cfRule>
  </conditionalFormatting>
  <conditionalFormatting sqref="F8:H8">
    <cfRule type="cellIs" dxfId="779" priority="65" operator="greaterThan">
      <formula>F4</formula>
    </cfRule>
  </conditionalFormatting>
  <conditionalFormatting sqref="F9:H9">
    <cfRule type="cellIs" dxfId="778" priority="67" operator="greaterThan">
      <formula>F4</formula>
    </cfRule>
  </conditionalFormatting>
  <conditionalFormatting sqref="F10:H10">
    <cfRule type="cellIs" dxfId="777" priority="66" operator="greaterThan">
      <formula>F4</formula>
    </cfRule>
  </conditionalFormatting>
  <conditionalFormatting sqref="G2:G12">
    <cfRule type="top10" dxfId="776" priority="70" bottom="1" rank="1"/>
    <cfRule type="top10" dxfId="775" priority="71" rank="1"/>
  </conditionalFormatting>
  <conditionalFormatting sqref="H2:H12">
    <cfRule type="top10" dxfId="774" priority="68" bottom="1" rank="1"/>
    <cfRule type="top10" dxfId="773" priority="69" rank="1"/>
  </conditionalFormatting>
  <conditionalFormatting sqref="I2:I4">
    <cfRule type="top10" dxfId="772" priority="8" bottom="1" rank="1"/>
    <cfRule type="top10" dxfId="771" priority="9" rank="1"/>
  </conditionalFormatting>
  <conditionalFormatting sqref="I6:I8">
    <cfRule type="top10" dxfId="770" priority="6" bottom="1" rank="1"/>
    <cfRule type="top10" dxfId="769" priority="7" rank="1"/>
  </conditionalFormatting>
  <conditionalFormatting sqref="I10:I12">
    <cfRule type="top10" dxfId="768" priority="4" bottom="1" rank="1"/>
    <cfRule type="top10" dxfId="767" priority="5" rank="1"/>
  </conditionalFormatting>
  <conditionalFormatting sqref="J2:J12">
    <cfRule type="top10" dxfId="766" priority="20" bottom="1" rank="1"/>
    <cfRule type="top10" dxfId="765" priority="21" rank="1"/>
  </conditionalFormatting>
  <conditionalFormatting sqref="J1:L1">
    <cfRule type="top10" dxfId="764" priority="22" bottom="1" rank="1"/>
    <cfRule type="top10" dxfId="763" priority="23" rank="1"/>
  </conditionalFormatting>
  <conditionalFormatting sqref="J4:L4">
    <cfRule type="cellIs" dxfId="762" priority="1" operator="greaterThan">
      <formula>J11</formula>
    </cfRule>
  </conditionalFormatting>
  <conditionalFormatting sqref="J8:L8">
    <cfRule type="cellIs" dxfId="761" priority="3" operator="greaterThan">
      <formula>J10</formula>
    </cfRule>
  </conditionalFormatting>
  <conditionalFormatting sqref="J10:L10">
    <cfRule type="cellIs" dxfId="760" priority="2" operator="greaterThan">
      <formula>J11</formula>
    </cfRule>
  </conditionalFormatting>
  <conditionalFormatting sqref="K2:K12">
    <cfRule type="top10" dxfId="759" priority="18" bottom="1" rank="1"/>
    <cfRule type="top10" dxfId="758" priority="19" rank="1"/>
  </conditionalFormatting>
  <conditionalFormatting sqref="L2:L12">
    <cfRule type="top10" dxfId="757" priority="16" bottom="1" rank="1"/>
    <cfRule type="top10" dxfId="756" priority="17" rank="1"/>
  </conditionalFormatting>
  <conditionalFormatting sqref="M2:M12">
    <cfRule type="cellIs" dxfId="755" priority="137" operator="lessThan">
      <formula>0</formula>
    </cfRule>
    <cfRule type="cellIs" dxfId="754" priority="138" operator="greaterThan">
      <formula>0</formula>
    </cfRule>
  </conditionalFormatting>
  <conditionalFormatting sqref="N2:N12">
    <cfRule type="top10" dxfId="753" priority="131" bottom="1" rank="1"/>
    <cfRule type="top10" dxfId="752" priority="132" rank="1"/>
  </conditionalFormatting>
  <conditionalFormatting sqref="N9">
    <cfRule type="cellIs" dxfId="751" priority="135" stopIfTrue="1" operator="lessThan">
      <formula>N2</formula>
    </cfRule>
    <cfRule type="cellIs" dxfId="750" priority="136" operator="greaterThan">
      <formula>N2</formula>
    </cfRule>
  </conditionalFormatting>
  <conditionalFormatting sqref="N10">
    <cfRule type="cellIs" dxfId="749" priority="133" stopIfTrue="1" operator="lessThan">
      <formula>N2</formula>
    </cfRule>
    <cfRule type="cellIs" dxfId="748" priority="134" stopIfTrue="1" operator="greaterThan">
      <formula>N2</formula>
    </cfRule>
  </conditionalFormatting>
  <conditionalFormatting sqref="N1:P1">
    <cfRule type="top10" dxfId="747" priority="57" bottom="1" rank="1"/>
    <cfRule type="top10" dxfId="746" priority="58" rank="1"/>
  </conditionalFormatting>
  <conditionalFormatting sqref="N8:P8">
    <cfRule type="top10" dxfId="745" priority="95" bottom="1" rank="1"/>
    <cfRule type="top10" dxfId="744" priority="96" rank="1"/>
    <cfRule type="cellIs" dxfId="743" priority="123" operator="lessThan">
      <formula>N2</formula>
    </cfRule>
    <cfRule type="cellIs" dxfId="742" priority="124" operator="greaterThan">
      <formula>N2</formula>
    </cfRule>
  </conditionalFormatting>
  <conditionalFormatting sqref="N9:P9">
    <cfRule type="top10" dxfId="741" priority="93" bottom="1" rank="1"/>
    <cfRule type="top10" dxfId="740" priority="94" rank="1"/>
  </conditionalFormatting>
  <conditionalFormatting sqref="N10:P10">
    <cfRule type="top10" dxfId="739" priority="91" bottom="1" rank="1"/>
    <cfRule type="top10" dxfId="738" priority="92" rank="1"/>
  </conditionalFormatting>
  <conditionalFormatting sqref="O2:O12">
    <cfRule type="top10" dxfId="737" priority="125" bottom="1" rank="1"/>
    <cfRule type="top10" dxfId="736" priority="126" rank="1"/>
  </conditionalFormatting>
  <conditionalFormatting sqref="O9">
    <cfRule type="cellIs" dxfId="735" priority="129" stopIfTrue="1" operator="lessThan">
      <formula>O2</formula>
    </cfRule>
    <cfRule type="cellIs" dxfId="734" priority="130" operator="greaterThan">
      <formula>O2</formula>
    </cfRule>
  </conditionalFormatting>
  <conditionalFormatting sqref="O10">
    <cfRule type="cellIs" dxfId="733" priority="127" stopIfTrue="1" operator="lessThan">
      <formula>O2</formula>
    </cfRule>
    <cfRule type="cellIs" dxfId="732" priority="128" stopIfTrue="1" operator="greaterThan">
      <formula>O2</formula>
    </cfRule>
  </conditionalFormatting>
  <conditionalFormatting sqref="P2:P12">
    <cfRule type="top10" dxfId="731" priority="117" bottom="1" rank="1"/>
    <cfRule type="top10" dxfId="730" priority="118" rank="1"/>
  </conditionalFormatting>
  <conditionalFormatting sqref="P9">
    <cfRule type="cellIs" dxfId="729" priority="121" stopIfTrue="1" operator="lessThan">
      <formula>P2</formula>
    </cfRule>
    <cfRule type="cellIs" dxfId="728" priority="122" operator="greaterThan">
      <formula>P2</formula>
    </cfRule>
  </conditionalFormatting>
  <conditionalFormatting sqref="P10">
    <cfRule type="cellIs" dxfId="727" priority="119" stopIfTrue="1" operator="lessThan">
      <formula>P2</formula>
    </cfRule>
    <cfRule type="cellIs" dxfId="726" priority="120" stopIfTrue="1" operator="greaterThan">
      <formula>P2</formula>
    </cfRule>
  </conditionalFormatting>
  <conditionalFormatting sqref="R2:R12">
    <cfRule type="top10" dxfId="725" priority="111" bottom="1" rank="1"/>
    <cfRule type="top10" dxfId="724" priority="112" rank="1"/>
  </conditionalFormatting>
  <conditionalFormatting sqref="R9">
    <cfRule type="cellIs" dxfId="723" priority="115" stopIfTrue="1" operator="lessThan">
      <formula>R2</formula>
    </cfRule>
    <cfRule type="cellIs" dxfId="722" priority="116" operator="greaterThan">
      <formula>R2</formula>
    </cfRule>
  </conditionalFormatting>
  <conditionalFormatting sqref="R10">
    <cfRule type="cellIs" dxfId="721" priority="113" stopIfTrue="1" operator="lessThan">
      <formula>R2</formula>
    </cfRule>
    <cfRule type="cellIs" dxfId="720" priority="114" stopIfTrue="1" operator="greaterThan">
      <formula>R2</formula>
    </cfRule>
  </conditionalFormatting>
  <conditionalFormatting sqref="R1:T1">
    <cfRule type="top10" dxfId="719" priority="35" bottom="1" rank="1"/>
    <cfRule type="top10" dxfId="718" priority="36" rank="1"/>
  </conditionalFormatting>
  <conditionalFormatting sqref="R8:T8">
    <cfRule type="top10" dxfId="717" priority="89" bottom="1" rank="1"/>
    <cfRule type="top10" dxfId="716" priority="90" rank="1"/>
    <cfRule type="cellIs" dxfId="715" priority="103" operator="lessThan">
      <formula>R2</formula>
    </cfRule>
    <cfRule type="cellIs" dxfId="714" priority="104" operator="greaterThan">
      <formula>R2</formula>
    </cfRule>
  </conditionalFormatting>
  <conditionalFormatting sqref="R9:T9">
    <cfRule type="top10" dxfId="713" priority="87" bottom="1" rank="1"/>
    <cfRule type="top10" dxfId="712" priority="88" rank="1"/>
  </conditionalFormatting>
  <conditionalFormatting sqref="R10:T10">
    <cfRule type="top10" dxfId="711" priority="85" bottom="1" rank="1"/>
    <cfRule type="top10" dxfId="710" priority="86" rank="1"/>
  </conditionalFormatting>
  <conditionalFormatting sqref="S2:S12">
    <cfRule type="top10" dxfId="709" priority="105" bottom="1" rank="1"/>
    <cfRule type="top10" dxfId="708" priority="106" rank="1"/>
  </conditionalFormatting>
  <conditionalFormatting sqref="S9">
    <cfRule type="cellIs" dxfId="707" priority="109" stopIfTrue="1" operator="lessThan">
      <formula>S2</formula>
    </cfRule>
    <cfRule type="cellIs" dxfId="706" priority="110" operator="greaterThan">
      <formula>S2</formula>
    </cfRule>
  </conditionalFormatting>
  <conditionalFormatting sqref="S10">
    <cfRule type="cellIs" dxfId="705" priority="107" stopIfTrue="1" operator="lessThan">
      <formula>S2</formula>
    </cfRule>
    <cfRule type="cellIs" dxfId="704" priority="108" stopIfTrue="1" operator="greaterThan">
      <formula>S2</formula>
    </cfRule>
  </conditionalFormatting>
  <conditionalFormatting sqref="T2:T12">
    <cfRule type="top10" dxfId="703" priority="97" bottom="1" rank="1"/>
    <cfRule type="top10" dxfId="702" priority="98" rank="1"/>
  </conditionalFormatting>
  <conditionalFormatting sqref="T9">
    <cfRule type="cellIs" dxfId="701" priority="101" stopIfTrue="1" operator="lessThan">
      <formula>T2</formula>
    </cfRule>
    <cfRule type="cellIs" dxfId="700" priority="102" operator="greaterThan">
      <formula>T2</formula>
    </cfRule>
  </conditionalFormatting>
  <conditionalFormatting sqref="T10">
    <cfRule type="cellIs" dxfId="699" priority="99" stopIfTrue="1" operator="lessThan">
      <formula>T2</formula>
    </cfRule>
    <cfRule type="cellIs" dxfId="698" priority="100" stopIfTrue="1" operator="greaterThan">
      <formula>T2</formula>
    </cfRule>
  </conditionalFormatting>
  <conditionalFormatting sqref="V7:V11">
    <cfRule type="top10" dxfId="697" priority="29" bottom="1" rank="1"/>
    <cfRule type="top10" dxfId="696" priority="30" rank="1"/>
  </conditionalFormatting>
  <conditionalFormatting sqref="V1:X1">
    <cfRule type="top10" dxfId="695" priority="33" bottom="1" rank="1"/>
    <cfRule type="top10" dxfId="694" priority="34" rank="1"/>
  </conditionalFormatting>
  <conditionalFormatting sqref="V8:X8">
    <cfRule type="cellIs" dxfId="693" priority="24" operator="greaterThan">
      <formula>V9</formula>
    </cfRule>
  </conditionalFormatting>
  <conditionalFormatting sqref="W7:W11">
    <cfRule type="top10" dxfId="692" priority="27" bottom="1" rank="1"/>
    <cfRule type="top10" dxfId="691" priority="28" rank="1"/>
  </conditionalFormatting>
  <conditionalFormatting sqref="X7:X11">
    <cfRule type="top10" dxfId="690" priority="25" bottom="1" rank="1"/>
    <cfRule type="top10" dxfId="689" priority="26" rank="1"/>
  </conditionalFormatting>
  <conditionalFormatting sqref="Z6:Z7">
    <cfRule type="cellIs" dxfId="688" priority="160" operator="lessThan">
      <formula>Z2</formula>
    </cfRule>
    <cfRule type="cellIs" dxfId="687" priority="161" operator="greaterThan">
      <formula>Z2</formula>
    </cfRule>
  </conditionalFormatting>
  <conditionalFormatting sqref="Z9:Z10">
    <cfRule type="top10" dxfId="686" priority="47" bottom="1" rank="1"/>
    <cfRule type="top10" dxfId="685" priority="48" rank="1"/>
  </conditionalFormatting>
  <conditionalFormatting sqref="Z11:Z12">
    <cfRule type="top10" dxfId="684" priority="41" bottom="1" rank="1"/>
    <cfRule type="top10" dxfId="683" priority="42" rank="1"/>
  </conditionalFormatting>
  <conditionalFormatting sqref="Z9:AB10">
    <cfRule type="cellIs" dxfId="682" priority="49" operator="lessThan">
      <formula>Z11</formula>
    </cfRule>
    <cfRule type="cellIs" dxfId="681" priority="50" operator="greaterThan">
      <formula>Z11</formula>
    </cfRule>
  </conditionalFormatting>
  <conditionalFormatting sqref="AA9:AA10">
    <cfRule type="top10" dxfId="680" priority="45" bottom="1" rank="1"/>
    <cfRule type="top10" dxfId="679" priority="46" rank="1"/>
  </conditionalFormatting>
  <conditionalFormatting sqref="AA11:AA12">
    <cfRule type="top10" dxfId="678" priority="39" bottom="1" rank="1"/>
    <cfRule type="top10" dxfId="677" priority="40" rank="1"/>
  </conditionalFormatting>
  <conditionalFormatting sqref="AB6:AB7">
    <cfRule type="cellIs" dxfId="676" priority="158" operator="lessThan">
      <formula>AB2</formula>
    </cfRule>
    <cfRule type="cellIs" dxfId="675" priority="159" operator="greaterThan">
      <formula>AB2</formula>
    </cfRule>
  </conditionalFormatting>
  <conditionalFormatting sqref="AB9:AB10">
    <cfRule type="top10" dxfId="674" priority="43" bottom="1" rank="1"/>
    <cfRule type="top10" dxfId="673" priority="44" rank="1"/>
  </conditionalFormatting>
  <conditionalFormatting sqref="AB11:AB12">
    <cfRule type="top10" dxfId="672" priority="37" bottom="1" rank="1"/>
    <cfRule type="top10" dxfId="671" priority="38" rank="1"/>
  </conditionalFormatting>
  <conditionalFormatting sqref="AC5:AC7">
    <cfRule type="cellIs" dxfId="670" priority="59" operator="lessThan">
      <formula>AC2</formula>
    </cfRule>
    <cfRule type="cellIs" dxfId="669" priority="60" operator="greaterThan">
      <formula>AC2</formula>
    </cfRule>
  </conditionalFormatting>
  <conditionalFormatting sqref="AC10:AC12">
    <cfRule type="top10" dxfId="668" priority="31" rank="1"/>
    <cfRule type="top10" dxfId="667" priority="32" bottom="1" rank="1"/>
  </conditionalFormatting>
  <conditionalFormatting sqref="AE1:AG1">
    <cfRule type="top10" dxfId="666" priority="55" bottom="1" rank="1"/>
    <cfRule type="top10" dxfId="665" priority="56" rank="1"/>
  </conditionalFormatting>
  <conditionalFormatting sqref="AE2:AG2">
    <cfRule type="top10" dxfId="664" priority="53" bottom="1" rank="1"/>
    <cfRule type="top10" dxfId="663" priority="54" rank="1"/>
  </conditionalFormatting>
  <conditionalFormatting sqref="AE3:AG3">
    <cfRule type="top10" dxfId="662" priority="51" bottom="1" rank="1"/>
    <cfRule type="top10" dxfId="661" priority="52" rank="1"/>
  </conditionalFormatting>
  <conditionalFormatting sqref="AE4:AG4">
    <cfRule type="cellIs" dxfId="660" priority="154" operator="lessThan">
      <formula>AE2</formula>
    </cfRule>
    <cfRule type="cellIs" dxfId="659" priority="155" operator="greaterThan">
      <formula>AE2</formula>
    </cfRule>
  </conditionalFormatting>
  <conditionalFormatting sqref="AE5:AG5">
    <cfRule type="top10" dxfId="658" priority="156" bottom="1" rank="1"/>
    <cfRule type="top10" dxfId="657" priority="157" rank="1"/>
  </conditionalFormatting>
  <conditionalFormatting sqref="AE7:AG7">
    <cfRule type="top10" dxfId="656" priority="152" bottom="1" rank="1"/>
    <cfRule type="top10" dxfId="655" priority="153" rank="1"/>
  </conditionalFormatting>
  <conditionalFormatting sqref="AE8:AG8">
    <cfRule type="cellIs" dxfId="654" priority="148" operator="lessThan">
      <formula>AE7</formula>
    </cfRule>
    <cfRule type="cellIs" dxfId="653" priority="149" operator="greaterThan">
      <formula>AE7</formula>
    </cfRule>
  </conditionalFormatting>
  <conditionalFormatting sqref="AE9:AG9">
    <cfRule type="cellIs" dxfId="652" priority="146" operator="lessThan">
      <formula>AE7</formula>
    </cfRule>
    <cfRule type="cellIs" dxfId="651" priority="147" operator="greaterThan">
      <formula>AE7</formula>
    </cfRule>
  </conditionalFormatting>
  <conditionalFormatting sqref="AE10:AG10">
    <cfRule type="top10" dxfId="650" priority="150" bottom="1" rank="1"/>
    <cfRule type="top10" dxfId="649" priority="151" rank="1"/>
  </conditionalFormatting>
  <conditionalFormatting sqref="AE11:AG11">
    <cfRule type="cellIs" dxfId="648" priority="144" operator="lessThan">
      <formula>0</formula>
    </cfRule>
    <cfRule type="cellIs" dxfId="647" priority="145" operator="greaterThan">
      <formula>0</formula>
    </cfRule>
  </conditionalFormatting>
  <conditionalFormatting sqref="AE12:AG12">
    <cfRule type="top10" dxfId="646" priority="141" bottom="1" rank="1"/>
    <cfRule type="cellIs" dxfId="645" priority="142" operator="greaterThan">
      <formula>0</formula>
    </cfRule>
    <cfRule type="cellIs" dxfId="644" priority="143" operator="lessThan">
      <formula>0</formula>
    </cfRule>
  </conditionalFormatting>
  <pageMargins left="0.7" right="0.7" top="0.75" bottom="0.75" header="0.3" footer="0.3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Merged</vt:lpstr>
      <vt:lpstr>1215087</vt:lpstr>
      <vt:lpstr>1212112</vt:lpstr>
      <vt:lpstr>1215085</vt:lpstr>
      <vt:lpstr>1179153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陶辰龙</dc:creator>
  <cp:lastModifiedBy>辰龙</cp:lastModifiedBy>
  <dcterms:created xsi:type="dcterms:W3CDTF">2023-05-08T14:08:27Z</dcterms:created>
  <dcterms:modified xsi:type="dcterms:W3CDTF">2023-05-11T11:42:35Z</dcterms:modified>
</cp:coreProperties>
</file>